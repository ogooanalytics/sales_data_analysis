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marachi\Desktop\I SWIPE TECH\RESULTS\"/>
    </mc:Choice>
  </mc:AlternateContent>
  <xr:revisionPtr revIDLastSave="0" documentId="13_ncr:1_{17B149D7-9916-4E39-82B9-EF0043A84299}" xr6:coauthVersionLast="47" xr6:coauthVersionMax="47" xr10:uidLastSave="{00000000-0000-0000-0000-000000000000}"/>
  <bookViews>
    <workbookView xWindow="-120" yWindow="-120" windowWidth="20730" windowHeight="11160" xr2:uid="{FD8FBB2E-4CF3-44E6-B737-1E7E35978715}"/>
  </bookViews>
  <sheets>
    <sheet name="dashboard" sheetId="1" r:id="rId1"/>
    <sheet name="model" sheetId="4" state="hidden" r:id="rId2"/>
    <sheet name="sales" sheetId="3" r:id="rId3"/>
  </sheets>
  <definedNames>
    <definedName name="ExternalData_1" localSheetId="2" hidden="1">sales!$A$1:$I$16</definedName>
    <definedName name="Slicer_Payment_Method">#N/A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4" i="4" l="1"/>
  <c r="A115" i="4"/>
  <c r="A106" i="4"/>
  <c r="A100" i="4"/>
  <c r="J16" i="3"/>
  <c r="J15" i="3"/>
  <c r="J14" i="3"/>
  <c r="J13" i="3"/>
  <c r="J12" i="3"/>
  <c r="J11" i="3"/>
  <c r="J10" i="3"/>
  <c r="J9" i="3"/>
  <c r="J8" i="3"/>
  <c r="J7" i="3"/>
  <c r="J6" i="3"/>
  <c r="J5" i="3"/>
  <c r="J4" i="3"/>
  <c r="J3" i="3"/>
  <c r="J2" i="3"/>
  <c r="A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F7C8E-5CE4-4796-9420-2C996F914F10}"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<sst xmlns="http://schemas.openxmlformats.org/spreadsheetml/2006/main" count="137" uniqueCount="48">
  <si>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</si>
  <si>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</si>
  <si>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</si>
  <si>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</si>
  <si>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</si>
  <si>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</si>
  <si>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</si>
  <si>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</si>
  <si>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</si>
  <si>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</si>
  <si>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</si>
  <si>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</si>
  <si>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</si>
  <si>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</si>
  <si>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</si>
  <si>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</si>
  <si>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</si>
  <si>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</si>
  <si>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</si>
  <si>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</si>
  <si>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</si>
  <si>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</si>
  <si>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</si>
  <si>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</si>
  <si>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</si>
  <si>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</si>
  <si>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</si>
  <si>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</si>
  <si>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</si>
  <si>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</si>
  <si>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</si>
  <si>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</si>
  <si>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Revenue</t>
  </si>
  <si>
    <t>Row Labels</t>
  </si>
  <si>
    <t>Grand Total</t>
  </si>
  <si>
    <t>Average of Revenue</t>
  </si>
  <si>
    <t>MOST PREFERED PAYMENT METHOD</t>
  </si>
  <si>
    <t>PAYMENT METHODS</t>
  </si>
  <si>
    <t>REVENUE PER PRODUCT</t>
  </si>
  <si>
    <t>QUANTITY PER PRODUCT</t>
  </si>
  <si>
    <t>REVENUE PER CITY</t>
  </si>
  <si>
    <t>Average of Quantity</t>
  </si>
  <si>
    <t>Var of Quantity</t>
  </si>
  <si>
    <t>StdDev of Revenue</t>
  </si>
  <si>
    <t>Var of Revenue</t>
  </si>
  <si>
    <t>StdDev of Quantity</t>
  </si>
  <si>
    <t>REVENUE PER MANAGER</t>
  </si>
  <si>
    <t>REVENUE PER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</si>
</sst>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5" formatCode="0.000"/>
    <numFmt numFmtId="166"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3" borderId="1" xfId="0" applyFont="1" applyFill="1" applyBorder="1"/>
    <xf numFmtId="0" fontId="0" fillId="2" borderId="0" xfId="0" applyFill="1"/>
    <xf numFmtId="1" fontId="0" fillId="0" borderId="0" xfId="0" applyNumberFormat="1"/>
    <xf numFmtId="14" fontId="0" fillId="0" borderId="0" xfId="0" applyNumberFormat="1" applyAlignment="1">
      <alignment horizontal="left"/>
    </xf>
    <xf numFmtId="165" fontId="0" fillId="0" borderId="0" xfId="0" applyNumberFormat="1"/>
    <xf numFmtId="166" fontId="0" fillId="0" borderId="0" xfId="0" applyNumberFormat="1"/>
    <xf numFmtId="43" fontId="2" fillId="0" borderId="0" xfId="2" applyFont="1"/>
    <xf numFmtId="43" fontId="0" fillId="0" borderId="0" xfId="2" applyFont="1"/>
    <xf numFmtId="44" fontId="1" fillId="0" borderId="0" xfId="1" applyNumberFormat="1" applyFont="1"/>
  </cellXfs>
  <cellStyles count="3">
    <cellStyle name="Comma" xfId="2" builtinId="3"/>
    <cellStyle name="Currency" xfId="1" builtinId="4"/>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
    </dxf>
    <dxf>
      <numFmt numFmtId="166" formatCode="0.0"/>
    </dxf>
  </dxfs>
  <tableStyles count="0" defaultTableStyle="TableStyleMedium2" defaultPivotStyle="PivotStyleLight16"/>
  <colors>
    <mruColors>
      <color rgb="FFE3E9F5"/>
      <color rgb="FFCCECFF"/>
      <color rgb="FFE6F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dashboard.xlsx]model!PivotTable2</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model!$B$15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49-448D-8836-A8827879BF9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49-448D-8836-A8827879BF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model!$A$16:$A$18</c:f>
              <c:strCache>
                <c:ptCount val="2"/>
                <c:pt idx="0">
                  <c:v> Credit Card</c:v>
                </c:pt>
                <c:pt idx="1">
                  <c:v> Gift Card</c:v>
                </c:pt>
              </c:strCache>
            </c:strRef>
          </c:cat>
          <c:val>
            <c:numRef>
              <c:f>model!$B$16:$B$18</c:f>
              <c:numCache>
                <c:formatCode>General</c:formatCode>
                <c:ptCount val="2"/>
                <c:pt idx="0">
                  <c:v>12</c:v>
                </c:pt>
                <c:pt idx="1">
                  <c:v>3</c:v>
                </c:pt>
              </c:numCache>
            </c:numRef>
          </c:val>
          <c:extLst>
            <c:ext xmlns:c16="http://schemas.microsoft.com/office/drawing/2014/chart" uri="{C3380CC4-5D6E-409C-BE32-E72D297353CC}">
              <c16:uniqueId val="{00000004-FF49-448D-8836-A8827879BF92}"/>
            </c:ext>
          </c:extLst>
        </c:ser>
        <c:dLbls>
          <c:showLegendKey val="0"/>
          <c:showVal val="1"/>
          <c:showCatName val="0"/>
          <c:showSerName val="0"/>
          <c:showPercent val="0"/>
          <c:showBubbleSize val="0"/>
          <c:showLeaderLines val="0"/>
        </c:dLbls>
        <c:firstSliceAng val="0"/>
        <c:holeSize val="6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model!$B$26</c:f>
              <c:strCache>
                <c:ptCount val="1"/>
                <c:pt idx="0">
                  <c:v>QUANTITY PER PRODUCT</c:v>
                </c:pt>
              </c:strCache>
            </c:strRef>
          </c:tx>
          <c:spPr>
            <a:solidFill>
              <a:schemeClr val="accent1"/>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model!$B$27:$B$32</c:f>
              <c:numCache>
                <c:formatCode>General</c:formatCode>
                <c:ptCount val="5"/>
                <c:pt idx="0">
                  <c:v>2292.2800000000002</c:v>
                </c:pt>
                <c:pt idx="1">
                  <c:v>1678.21</c:v>
                </c:pt>
                <c:pt idx="2">
                  <c:v>1423.73</c:v>
                </c:pt>
                <c:pt idx="3">
                  <c:v>603.03</c:v>
                </c:pt>
                <c:pt idx="4">
                  <c:v>601.20000000000005</c:v>
                </c:pt>
              </c:numCache>
            </c:numRef>
          </c:val>
          <c:extLst>
            <c:ext xmlns:c16="http://schemas.microsoft.com/office/drawing/2014/chart" uri="{C3380CC4-5D6E-409C-BE32-E72D297353CC}">
              <c16:uniqueId val="{00000000-4606-4A55-8D1B-45566DB3DC12}"/>
            </c:ext>
          </c:extLst>
        </c:ser>
        <c:ser>
          <c:idx val="1"/>
          <c:order val="1"/>
          <c:tx>
            <c:strRef>
              <c:f>model!$C$26</c:f>
              <c:strCache>
                <c:ptCount val="1"/>
                <c:pt idx="0">
                  <c:v>REVENUE PER PRODUCT</c:v>
                </c:pt>
              </c:strCache>
            </c:strRef>
          </c:tx>
          <c:spPr>
            <a:solidFill>
              <a:schemeClr val="accent2"/>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model!$C$27:$C$32</c:f>
              <c:numCache>
                <c:formatCode>General</c:formatCode>
                <c:ptCount val="5"/>
                <c:pt idx="0">
                  <c:v>8000.0572000000011</c:v>
                </c:pt>
                <c:pt idx="1">
                  <c:v>21799.947899999999</c:v>
                </c:pt>
                <c:pt idx="2">
                  <c:v>4200.0035000000007</c:v>
                </c:pt>
                <c:pt idx="3">
                  <c:v>6000.1484999999993</c:v>
                </c:pt>
                <c:pt idx="4">
                  <c:v>2999.9880000000003</c:v>
                </c:pt>
              </c:numCache>
            </c:numRef>
          </c:val>
          <c:extLst>
            <c:ext xmlns:c16="http://schemas.microsoft.com/office/drawing/2014/chart" uri="{C3380CC4-5D6E-409C-BE32-E72D297353CC}">
              <c16:uniqueId val="{00000001-4606-4A55-8D1B-45566DB3DC12}"/>
            </c:ext>
          </c:extLst>
        </c:ser>
        <c:dLbls>
          <c:showLegendKey val="0"/>
          <c:showVal val="0"/>
          <c:showCatName val="0"/>
          <c:showSerName val="0"/>
          <c:showPercent val="0"/>
          <c:showBubbleSize val="0"/>
        </c:dLbls>
        <c:gapWidth val="182"/>
        <c:axId val="574786575"/>
        <c:axId val="574790415"/>
      </c:barChart>
      <c:catAx>
        <c:axId val="574786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90415"/>
        <c:crosses val="autoZero"/>
        <c:auto val="1"/>
        <c:lblAlgn val="ctr"/>
        <c:lblOffset val="100"/>
        <c:noMultiLvlLbl val="0"/>
      </c:catAx>
      <c:valAx>
        <c:axId val="574790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8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model!$B$45</c:f>
              <c:strCache>
                <c:ptCount val="1"/>
                <c:pt idx="0">
                  <c:v>Total</c:v>
                </c:pt>
              </c:strCache>
            </c:strRef>
          </c:tx>
          <c:spPr>
            <a:solidFill>
              <a:schemeClr val="accent1"/>
            </a:solidFill>
            <a:ln>
              <a:noFill/>
            </a:ln>
            <a:effectLst/>
          </c:spPr>
          <c:invertIfNegative val="0"/>
          <c:cat>
            <c:strRef>
              <c:f>model!$A$46:$A$51</c:f>
              <c:strCache>
                <c:ptCount val="5"/>
                <c:pt idx="0">
                  <c:v>Paris</c:v>
                </c:pt>
                <c:pt idx="1">
                  <c:v>Madrid</c:v>
                </c:pt>
                <c:pt idx="2">
                  <c:v>Berlin</c:v>
                </c:pt>
                <c:pt idx="3">
                  <c:v>London</c:v>
                </c:pt>
                <c:pt idx="4">
                  <c:v>Lisbon</c:v>
                </c:pt>
              </c:strCache>
            </c:strRef>
          </c:cat>
          <c:val>
            <c:numRef>
              <c:f>model!$B$46:$B$51</c:f>
              <c:numCache>
                <c:formatCode>General</c:formatCode>
                <c:ptCount val="5"/>
                <c:pt idx="0">
                  <c:v>16200.052900000002</c:v>
                </c:pt>
                <c:pt idx="1">
                  <c:v>13400.0231</c:v>
                </c:pt>
                <c:pt idx="2">
                  <c:v>10400.058799999999</c:v>
                </c:pt>
                <c:pt idx="3">
                  <c:v>2000.0143000000003</c:v>
                </c:pt>
                <c:pt idx="4">
                  <c:v>999.99600000000009</c:v>
                </c:pt>
              </c:numCache>
            </c:numRef>
          </c:val>
          <c:extLst>
            <c:ext xmlns:c16="http://schemas.microsoft.com/office/drawing/2014/chart" uri="{C3380CC4-5D6E-409C-BE32-E72D297353CC}">
              <c16:uniqueId val="{00000000-36C6-4906-B7D5-17F2CCB3223D}"/>
            </c:ext>
          </c:extLst>
        </c:ser>
        <c:dLbls>
          <c:showLegendKey val="0"/>
          <c:showVal val="0"/>
          <c:showCatName val="0"/>
          <c:showSerName val="0"/>
          <c:showPercent val="0"/>
          <c:showBubbleSize val="0"/>
        </c:dLbls>
        <c:gapWidth val="219"/>
        <c:overlap val="-27"/>
        <c:axId val="740122303"/>
        <c:axId val="740109343"/>
      </c:barChart>
      <c:catAx>
        <c:axId val="740122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09343"/>
        <c:crosses val="autoZero"/>
        <c:auto val="1"/>
        <c:lblAlgn val="ctr"/>
        <c:lblOffset val="100"/>
        <c:noMultiLvlLbl val="0"/>
      </c:catAx>
      <c:valAx>
        <c:axId val="740109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22303"/>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model!$B$59</c:f>
              <c:strCache>
                <c:ptCount val="1"/>
                <c:pt idx="0">
                  <c:v>Total</c:v>
                </c:pt>
              </c:strCache>
            </c:strRef>
          </c:tx>
          <c:spPr>
            <a:solidFill>
              <a:schemeClr val="accent1"/>
            </a:solidFill>
            <a:ln>
              <a:noFill/>
            </a:ln>
            <a:effectLst/>
          </c:spPr>
          <c:invertIfNegative val="0"/>
          <c:cat>
            <c:strRef>
              <c:f>model!$A$60:$A$69</c:f>
              <c:strCache>
                <c:ptCount val="9"/>
                <c:pt idx="0">
                  <c:v>Pablo Perez</c:v>
                </c:pt>
                <c:pt idx="1">
                  <c:v>Walter Muller</c:v>
                </c:pt>
                <c:pt idx="2">
                  <c:v>Remy Monet</c:v>
                </c:pt>
                <c:pt idx="3">
                  <c:v>       Remy Monet</c:v>
                </c:pt>
                <c:pt idx="4">
                  <c:v>       Pablo Perez</c:v>
                </c:pt>
                <c:pt idx="5">
                  <c:v>Remy    Monet</c:v>
                </c:pt>
                <c:pt idx="6">
                  <c:v>Tom      Jackson</c:v>
                </c:pt>
                <c:pt idx="7">
                  <c:v>Joao    Silva</c:v>
                </c:pt>
                <c:pt idx="8">
                  <c:v>Remy     Monet</c:v>
                </c:pt>
              </c:strCache>
            </c:strRef>
          </c:cat>
          <c:val>
            <c:numRef>
              <c:f>model!$B$60:$B$69</c:f>
              <c:numCache>
                <c:formatCode>General</c:formatCode>
                <c:ptCount val="9"/>
                <c:pt idx="0">
                  <c:v>11200.0311</c:v>
                </c:pt>
                <c:pt idx="1">
                  <c:v>10400.058799999999</c:v>
                </c:pt>
                <c:pt idx="2">
                  <c:v>9200.0167999999994</c:v>
                </c:pt>
                <c:pt idx="3">
                  <c:v>4000.0258000000003</c:v>
                </c:pt>
                <c:pt idx="4">
                  <c:v>2199.9920000000002</c:v>
                </c:pt>
                <c:pt idx="5">
                  <c:v>2000.0143000000003</c:v>
                </c:pt>
                <c:pt idx="6">
                  <c:v>2000.0143000000003</c:v>
                </c:pt>
                <c:pt idx="7">
                  <c:v>999.99600000000009</c:v>
                </c:pt>
                <c:pt idx="8">
                  <c:v>999.99600000000009</c:v>
                </c:pt>
              </c:numCache>
            </c:numRef>
          </c:val>
          <c:extLst>
            <c:ext xmlns:c16="http://schemas.microsoft.com/office/drawing/2014/chart" uri="{C3380CC4-5D6E-409C-BE32-E72D297353CC}">
              <c16:uniqueId val="{00000000-70E8-488B-88A0-73EDFE634493}"/>
            </c:ext>
          </c:extLst>
        </c:ser>
        <c:dLbls>
          <c:showLegendKey val="0"/>
          <c:showVal val="0"/>
          <c:showCatName val="0"/>
          <c:showSerName val="0"/>
          <c:showPercent val="0"/>
          <c:showBubbleSize val="0"/>
        </c:dLbls>
        <c:gapWidth val="219"/>
        <c:overlap val="-27"/>
        <c:axId val="1778087184"/>
        <c:axId val="1778076144"/>
      </c:barChart>
      <c:catAx>
        <c:axId val="17780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76144"/>
        <c:crosses val="autoZero"/>
        <c:auto val="1"/>
        <c:lblAlgn val="ctr"/>
        <c:lblOffset val="100"/>
        <c:noMultiLvlLbl val="0"/>
      </c:catAx>
      <c:valAx>
        <c:axId val="177807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model!$B$74</c:f>
              <c:strCache>
                <c:ptCount val="1"/>
                <c:pt idx="0">
                  <c:v>Total</c:v>
                </c:pt>
              </c:strCache>
            </c:strRef>
          </c:tx>
          <c:spPr>
            <a:ln w="28575" cap="rnd">
              <a:solidFill>
                <a:schemeClr val="accent1"/>
              </a:solidFill>
              <a:round/>
            </a:ln>
            <a:effectLst/>
          </c:spPr>
          <c:marker>
            <c:symbol val="none"/>
          </c:marker>
          <c:cat>
            <c:strRef>
              <c:f>model!$A$75:$A$79</c:f>
              <c:strCache>
                <c:ptCount val="4"/>
                <c:pt idx="0">
                  <c:v>7/11/2022</c:v>
                </c:pt>
                <c:pt idx="1">
                  <c:v>8/11/2022</c:v>
                </c:pt>
                <c:pt idx="2">
                  <c:v>9/11/2022</c:v>
                </c:pt>
                <c:pt idx="3">
                  <c:v>10/11/2022</c:v>
                </c:pt>
              </c:strCache>
            </c:strRef>
          </c:cat>
          <c:val>
            <c:numRef>
              <c:f>model!$B$75:$B$79</c:f>
              <c:numCache>
                <c:formatCode>General</c:formatCode>
                <c:ptCount val="4"/>
                <c:pt idx="0">
                  <c:v>5200.002300000001</c:v>
                </c:pt>
                <c:pt idx="1">
                  <c:v>12400.073100000001</c:v>
                </c:pt>
                <c:pt idx="2">
                  <c:v>14200.0386</c:v>
                </c:pt>
                <c:pt idx="3">
                  <c:v>11200.0311</c:v>
                </c:pt>
              </c:numCache>
            </c:numRef>
          </c:val>
          <c:smooth val="0"/>
          <c:extLst>
            <c:ext xmlns:c16="http://schemas.microsoft.com/office/drawing/2014/chart" uri="{C3380CC4-5D6E-409C-BE32-E72D297353CC}">
              <c16:uniqueId val="{00000000-A09D-44D9-A634-7D60DD7D47E4}"/>
            </c:ext>
          </c:extLst>
        </c:ser>
        <c:dLbls>
          <c:showLegendKey val="0"/>
          <c:showVal val="0"/>
          <c:showCatName val="0"/>
          <c:showSerName val="0"/>
          <c:showPercent val="0"/>
          <c:showBubbleSize val="0"/>
        </c:dLbls>
        <c:smooth val="0"/>
        <c:axId val="1430430560"/>
        <c:axId val="1430510000"/>
      </c:lineChart>
      <c:catAx>
        <c:axId val="143043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10000"/>
        <c:crosses val="autoZero"/>
        <c:auto val="1"/>
        <c:lblAlgn val="ctr"/>
        <c:lblOffset val="100"/>
        <c:noMultiLvlLbl val="0"/>
      </c:catAx>
      <c:valAx>
        <c:axId val="143051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43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model!$B$86</c:f>
              <c:strCache>
                <c:ptCount val="1"/>
                <c:pt idx="0">
                  <c:v>Average of Quantity</c:v>
                </c:pt>
              </c:strCache>
            </c:strRef>
          </c:tx>
          <c:spPr>
            <a:solidFill>
              <a:schemeClr val="accent1"/>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model!$B$87:$B$92</c:f>
              <c:numCache>
                <c:formatCode>0</c:formatCode>
                <c:ptCount val="5"/>
                <c:pt idx="0">
                  <c:v>711.86500000000001</c:v>
                </c:pt>
                <c:pt idx="1">
                  <c:v>559.40333333333331</c:v>
                </c:pt>
                <c:pt idx="2">
                  <c:v>201.01</c:v>
                </c:pt>
                <c:pt idx="3">
                  <c:v>573.07000000000005</c:v>
                </c:pt>
                <c:pt idx="4">
                  <c:v>200.4</c:v>
                </c:pt>
              </c:numCache>
            </c:numRef>
          </c:val>
          <c:extLst>
            <c:ext xmlns:c16="http://schemas.microsoft.com/office/drawing/2014/chart" uri="{C3380CC4-5D6E-409C-BE32-E72D297353CC}">
              <c16:uniqueId val="{00000000-2389-41D3-ADBB-FE243CDEED9A}"/>
            </c:ext>
          </c:extLst>
        </c:ser>
        <c:ser>
          <c:idx val="1"/>
          <c:order val="1"/>
          <c:tx>
            <c:strRef>
              <c:f>model!$C$86</c:f>
              <c:strCache>
                <c:ptCount val="1"/>
                <c:pt idx="0">
                  <c:v>Average of Revenue</c:v>
                </c:pt>
              </c:strCache>
            </c:strRef>
          </c:tx>
          <c:spPr>
            <a:solidFill>
              <a:schemeClr val="accent2"/>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model!$C$87:$C$92</c:f>
              <c:numCache>
                <c:formatCode>0</c:formatCode>
                <c:ptCount val="5"/>
                <c:pt idx="0">
                  <c:v>2100.0017500000004</c:v>
                </c:pt>
                <c:pt idx="1">
                  <c:v>7266.6493</c:v>
                </c:pt>
                <c:pt idx="2">
                  <c:v>2000.0494999999999</c:v>
                </c:pt>
                <c:pt idx="3">
                  <c:v>2000.0143000000003</c:v>
                </c:pt>
                <c:pt idx="4">
                  <c:v>999.99600000000009</c:v>
                </c:pt>
              </c:numCache>
            </c:numRef>
          </c:val>
          <c:extLst>
            <c:ext xmlns:c16="http://schemas.microsoft.com/office/drawing/2014/chart" uri="{C3380CC4-5D6E-409C-BE32-E72D297353CC}">
              <c16:uniqueId val="{00000001-2389-41D3-ADBB-FE243CDEED9A}"/>
            </c:ext>
          </c:extLst>
        </c:ser>
        <c:dLbls>
          <c:showLegendKey val="0"/>
          <c:showVal val="0"/>
          <c:showCatName val="0"/>
          <c:showSerName val="0"/>
          <c:showPercent val="0"/>
          <c:showBubbleSize val="0"/>
        </c:dLbls>
        <c:gapWidth val="182"/>
        <c:axId val="1082762992"/>
        <c:axId val="1082767312"/>
      </c:barChart>
      <c:catAx>
        <c:axId val="1082762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7312"/>
        <c:crosses val="autoZero"/>
        <c:auto val="1"/>
        <c:lblAlgn val="ctr"/>
        <c:lblOffset val="100"/>
        <c:noMultiLvlLbl val="0"/>
      </c:catAx>
      <c:valAx>
        <c:axId val="108276731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model!$B$15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80-488F-A1C5-B4EBAC7AF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80-488F-A1C5-B4EBAC7AFBCF}"/>
              </c:ext>
            </c:extLst>
          </c:dPt>
          <c:cat>
            <c:strRef>
              <c:f>model!$A$16:$A$18</c:f>
              <c:strCache>
                <c:ptCount val="2"/>
                <c:pt idx="0">
                  <c:v> Credit Card</c:v>
                </c:pt>
                <c:pt idx="1">
                  <c:v> Gift Card</c:v>
                </c:pt>
              </c:strCache>
            </c:strRef>
          </c:cat>
          <c:val>
            <c:numRef>
              <c:f>model!$B$16:$B$18</c:f>
              <c:numCache>
                <c:formatCode>General</c:formatCode>
                <c:ptCount val="2"/>
                <c:pt idx="0">
                  <c:v>12</c:v>
                </c:pt>
                <c:pt idx="1">
                  <c:v>3</c:v>
                </c:pt>
              </c:numCache>
            </c:numRef>
          </c:val>
          <c:extLst>
            <c:ext xmlns:c16="http://schemas.microsoft.com/office/drawing/2014/chart" uri="{C3380CC4-5D6E-409C-BE32-E72D297353CC}">
              <c16:uniqueId val="{00000000-3F03-4486-95AB-62EC666969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dashboard.xlsx]model!PivotTable3</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model!$B$26</c:f>
              <c:strCache>
                <c:ptCount val="1"/>
                <c:pt idx="0">
                  <c:v>QUANTITY PER PRODUCT</c:v>
                </c:pt>
              </c:strCache>
            </c:strRef>
          </c:tx>
          <c:spPr>
            <a:solidFill>
              <a:schemeClr val="accent1"/>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model!$B$27:$B$32</c:f>
              <c:numCache>
                <c:formatCode>General</c:formatCode>
                <c:ptCount val="5"/>
                <c:pt idx="0">
                  <c:v>2292.2800000000002</c:v>
                </c:pt>
                <c:pt idx="1">
                  <c:v>1678.21</c:v>
                </c:pt>
                <c:pt idx="2">
                  <c:v>1423.73</c:v>
                </c:pt>
                <c:pt idx="3">
                  <c:v>603.03</c:v>
                </c:pt>
                <c:pt idx="4">
                  <c:v>601.20000000000005</c:v>
                </c:pt>
              </c:numCache>
            </c:numRef>
          </c:val>
          <c:extLst>
            <c:ext xmlns:c16="http://schemas.microsoft.com/office/drawing/2014/chart" uri="{C3380CC4-5D6E-409C-BE32-E72D297353CC}">
              <c16:uniqueId val="{00000000-83A0-48D5-B8B1-0793F0E06C7B}"/>
            </c:ext>
          </c:extLst>
        </c:ser>
        <c:ser>
          <c:idx val="1"/>
          <c:order val="1"/>
          <c:tx>
            <c:strRef>
              <c:f>model!$C$26</c:f>
              <c:strCache>
                <c:ptCount val="1"/>
                <c:pt idx="0">
                  <c:v>REVENUE PER PRODUCT</c:v>
                </c:pt>
              </c:strCache>
            </c:strRef>
          </c:tx>
          <c:spPr>
            <a:solidFill>
              <a:schemeClr val="accent2"/>
            </a:solidFill>
            <a:ln>
              <a:noFill/>
            </a:ln>
            <a:effectLst/>
          </c:spPr>
          <c:invertIfNegative val="0"/>
          <c:cat>
            <c:strRef>
              <c:f>model!$A$27:$A$32</c:f>
              <c:strCache>
                <c:ptCount val="5"/>
                <c:pt idx="0">
                  <c:v>Fries</c:v>
                </c:pt>
                <c:pt idx="1">
                  <c:v>Burgers</c:v>
                </c:pt>
                <c:pt idx="2">
                  <c:v>Beverages</c:v>
                </c:pt>
                <c:pt idx="3">
                  <c:v>Chicken Sandwiches</c:v>
                </c:pt>
                <c:pt idx="4">
                  <c:v>Sides &amp; Other</c:v>
                </c:pt>
              </c:strCache>
            </c:strRef>
          </c:cat>
          <c:val>
            <c:numRef>
              <c:f>model!$C$27:$C$32</c:f>
              <c:numCache>
                <c:formatCode>General</c:formatCode>
                <c:ptCount val="5"/>
                <c:pt idx="0">
                  <c:v>8000.0572000000011</c:v>
                </c:pt>
                <c:pt idx="1">
                  <c:v>21799.947899999999</c:v>
                </c:pt>
                <c:pt idx="2">
                  <c:v>4200.0035000000007</c:v>
                </c:pt>
                <c:pt idx="3">
                  <c:v>6000.1484999999993</c:v>
                </c:pt>
                <c:pt idx="4">
                  <c:v>2999.9880000000003</c:v>
                </c:pt>
              </c:numCache>
            </c:numRef>
          </c:val>
          <c:extLst>
            <c:ext xmlns:c16="http://schemas.microsoft.com/office/drawing/2014/chart" uri="{C3380CC4-5D6E-409C-BE32-E72D297353CC}">
              <c16:uniqueId val="{00000001-83A0-48D5-B8B1-0793F0E06C7B}"/>
            </c:ext>
          </c:extLst>
        </c:ser>
        <c:dLbls>
          <c:showLegendKey val="0"/>
          <c:showVal val="0"/>
          <c:showCatName val="0"/>
          <c:showSerName val="0"/>
          <c:showPercent val="0"/>
          <c:showBubbleSize val="0"/>
        </c:dLbls>
        <c:gapWidth val="182"/>
        <c:axId val="574786575"/>
        <c:axId val="574790415"/>
      </c:barChart>
      <c:catAx>
        <c:axId val="57478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90415"/>
        <c:crosses val="autoZero"/>
        <c:auto val="1"/>
        <c:lblAlgn val="ctr"/>
        <c:lblOffset val="100"/>
        <c:noMultiLvlLbl val="0"/>
      </c:catAx>
      <c:valAx>
        <c:axId val="57479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7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model!$B$45</c:f>
              <c:strCache>
                <c:ptCount val="1"/>
                <c:pt idx="0">
                  <c:v>Total</c:v>
                </c:pt>
              </c:strCache>
            </c:strRef>
          </c:tx>
          <c:spPr>
            <a:solidFill>
              <a:schemeClr val="accent1"/>
            </a:solidFill>
            <a:ln>
              <a:noFill/>
            </a:ln>
            <a:effectLst/>
          </c:spPr>
          <c:invertIfNegative val="0"/>
          <c:cat>
            <c:strRef>
              <c:f>model!$A$46:$A$51</c:f>
              <c:strCache>
                <c:ptCount val="5"/>
                <c:pt idx="0">
                  <c:v>Paris</c:v>
                </c:pt>
                <c:pt idx="1">
                  <c:v>Madrid</c:v>
                </c:pt>
                <c:pt idx="2">
                  <c:v>Berlin</c:v>
                </c:pt>
                <c:pt idx="3">
                  <c:v>London</c:v>
                </c:pt>
                <c:pt idx="4">
                  <c:v>Lisbon</c:v>
                </c:pt>
              </c:strCache>
            </c:strRef>
          </c:cat>
          <c:val>
            <c:numRef>
              <c:f>model!$B$46:$B$51</c:f>
              <c:numCache>
                <c:formatCode>General</c:formatCode>
                <c:ptCount val="5"/>
                <c:pt idx="0">
                  <c:v>16200.052900000002</c:v>
                </c:pt>
                <c:pt idx="1">
                  <c:v>13400.0231</c:v>
                </c:pt>
                <c:pt idx="2">
                  <c:v>10400.058799999999</c:v>
                </c:pt>
                <c:pt idx="3">
                  <c:v>2000.0143000000003</c:v>
                </c:pt>
                <c:pt idx="4">
                  <c:v>999.99600000000009</c:v>
                </c:pt>
              </c:numCache>
            </c:numRef>
          </c:val>
          <c:extLst>
            <c:ext xmlns:c16="http://schemas.microsoft.com/office/drawing/2014/chart" uri="{C3380CC4-5D6E-409C-BE32-E72D297353CC}">
              <c16:uniqueId val="{00000000-3391-4686-916B-510298C61B8A}"/>
            </c:ext>
          </c:extLst>
        </c:ser>
        <c:dLbls>
          <c:showLegendKey val="0"/>
          <c:showVal val="0"/>
          <c:showCatName val="0"/>
          <c:showSerName val="0"/>
          <c:showPercent val="0"/>
          <c:showBubbleSize val="0"/>
        </c:dLbls>
        <c:gapWidth val="219"/>
        <c:overlap val="-27"/>
        <c:axId val="740122303"/>
        <c:axId val="740109343"/>
      </c:barChart>
      <c:catAx>
        <c:axId val="74012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09343"/>
        <c:crosses val="autoZero"/>
        <c:auto val="1"/>
        <c:lblAlgn val="ctr"/>
        <c:lblOffset val="100"/>
        <c:noMultiLvlLbl val="0"/>
      </c:catAx>
      <c:valAx>
        <c:axId val="7401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2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model!$B$59</c:f>
              <c:strCache>
                <c:ptCount val="1"/>
                <c:pt idx="0">
                  <c:v>Total</c:v>
                </c:pt>
              </c:strCache>
            </c:strRef>
          </c:tx>
          <c:spPr>
            <a:solidFill>
              <a:schemeClr val="accent1"/>
            </a:solidFill>
            <a:ln>
              <a:noFill/>
            </a:ln>
            <a:effectLst/>
          </c:spPr>
          <c:invertIfNegative val="0"/>
          <c:cat>
            <c:strRef>
              <c:f>model!$A$60:$A$69</c:f>
              <c:strCache>
                <c:ptCount val="9"/>
                <c:pt idx="0">
                  <c:v>Pablo Perez</c:v>
                </c:pt>
                <c:pt idx="1">
                  <c:v>Walter Muller</c:v>
                </c:pt>
                <c:pt idx="2">
                  <c:v>Remy Monet</c:v>
                </c:pt>
                <c:pt idx="3">
                  <c:v>       Remy Monet</c:v>
                </c:pt>
                <c:pt idx="4">
                  <c:v>       Pablo Perez</c:v>
                </c:pt>
                <c:pt idx="5">
                  <c:v>Remy    Monet</c:v>
                </c:pt>
                <c:pt idx="6">
                  <c:v>Tom      Jackson</c:v>
                </c:pt>
                <c:pt idx="7">
                  <c:v>Joao    Silva</c:v>
                </c:pt>
                <c:pt idx="8">
                  <c:v>Remy     Monet</c:v>
                </c:pt>
              </c:strCache>
            </c:strRef>
          </c:cat>
          <c:val>
            <c:numRef>
              <c:f>model!$B$60:$B$69</c:f>
              <c:numCache>
                <c:formatCode>General</c:formatCode>
                <c:ptCount val="9"/>
                <c:pt idx="0">
                  <c:v>11200.0311</c:v>
                </c:pt>
                <c:pt idx="1">
                  <c:v>10400.058799999999</c:v>
                </c:pt>
                <c:pt idx="2">
                  <c:v>9200.0167999999994</c:v>
                </c:pt>
                <c:pt idx="3">
                  <c:v>4000.0258000000003</c:v>
                </c:pt>
                <c:pt idx="4">
                  <c:v>2199.9920000000002</c:v>
                </c:pt>
                <c:pt idx="5">
                  <c:v>2000.0143000000003</c:v>
                </c:pt>
                <c:pt idx="6">
                  <c:v>2000.0143000000003</c:v>
                </c:pt>
                <c:pt idx="7">
                  <c:v>999.99600000000009</c:v>
                </c:pt>
                <c:pt idx="8">
                  <c:v>999.99600000000009</c:v>
                </c:pt>
              </c:numCache>
            </c:numRef>
          </c:val>
          <c:extLst>
            <c:ext xmlns:c16="http://schemas.microsoft.com/office/drawing/2014/chart" uri="{C3380CC4-5D6E-409C-BE32-E72D297353CC}">
              <c16:uniqueId val="{00000000-EE3C-4A90-9F5C-47F8D8EA7BF8}"/>
            </c:ext>
          </c:extLst>
        </c:ser>
        <c:dLbls>
          <c:showLegendKey val="0"/>
          <c:showVal val="0"/>
          <c:showCatName val="0"/>
          <c:showSerName val="0"/>
          <c:showPercent val="0"/>
          <c:showBubbleSize val="0"/>
        </c:dLbls>
        <c:gapWidth val="219"/>
        <c:overlap val="-27"/>
        <c:axId val="1778087184"/>
        <c:axId val="1778076144"/>
      </c:barChart>
      <c:catAx>
        <c:axId val="177808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76144"/>
        <c:crosses val="autoZero"/>
        <c:auto val="1"/>
        <c:lblAlgn val="ctr"/>
        <c:lblOffset val="100"/>
        <c:noMultiLvlLbl val="0"/>
      </c:catAx>
      <c:valAx>
        <c:axId val="177807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model!$B$74</c:f>
              <c:strCache>
                <c:ptCount val="1"/>
                <c:pt idx="0">
                  <c:v>Total</c:v>
                </c:pt>
              </c:strCache>
            </c:strRef>
          </c:tx>
          <c:spPr>
            <a:ln w="28575" cap="rnd">
              <a:solidFill>
                <a:schemeClr val="accent1"/>
              </a:solidFill>
              <a:round/>
            </a:ln>
            <a:effectLst/>
          </c:spPr>
          <c:marker>
            <c:symbol val="none"/>
          </c:marker>
          <c:cat>
            <c:strRef>
              <c:f>model!$A$75:$A$79</c:f>
              <c:strCache>
                <c:ptCount val="4"/>
                <c:pt idx="0">
                  <c:v>7/11/2022</c:v>
                </c:pt>
                <c:pt idx="1">
                  <c:v>8/11/2022</c:v>
                </c:pt>
                <c:pt idx="2">
                  <c:v>9/11/2022</c:v>
                </c:pt>
                <c:pt idx="3">
                  <c:v>10/11/2022</c:v>
                </c:pt>
              </c:strCache>
            </c:strRef>
          </c:cat>
          <c:val>
            <c:numRef>
              <c:f>model!$B$75:$B$79</c:f>
              <c:numCache>
                <c:formatCode>General</c:formatCode>
                <c:ptCount val="4"/>
                <c:pt idx="0">
                  <c:v>5200.002300000001</c:v>
                </c:pt>
                <c:pt idx="1">
                  <c:v>12400.073100000001</c:v>
                </c:pt>
                <c:pt idx="2">
                  <c:v>14200.0386</c:v>
                </c:pt>
                <c:pt idx="3">
                  <c:v>11200.0311</c:v>
                </c:pt>
              </c:numCache>
            </c:numRef>
          </c:val>
          <c:smooth val="0"/>
          <c:extLst>
            <c:ext xmlns:c16="http://schemas.microsoft.com/office/drawing/2014/chart" uri="{C3380CC4-5D6E-409C-BE32-E72D297353CC}">
              <c16:uniqueId val="{00000000-1A67-4CDE-91E8-6B19E5FA09D2}"/>
            </c:ext>
          </c:extLst>
        </c:ser>
        <c:dLbls>
          <c:showLegendKey val="0"/>
          <c:showVal val="0"/>
          <c:showCatName val="0"/>
          <c:showSerName val="0"/>
          <c:showPercent val="0"/>
          <c:showBubbleSize val="0"/>
        </c:dLbls>
        <c:smooth val="0"/>
        <c:axId val="1430430560"/>
        <c:axId val="1430510000"/>
      </c:lineChart>
      <c:catAx>
        <c:axId val="143043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10000"/>
        <c:crosses val="autoZero"/>
        <c:auto val="1"/>
        <c:lblAlgn val="ctr"/>
        <c:lblOffset val="100"/>
        <c:noMultiLvlLbl val="0"/>
      </c:catAx>
      <c:valAx>
        <c:axId val="14305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4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dashboard.xlsx]model!PivotTable7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model!$B$86</c:f>
              <c:strCache>
                <c:ptCount val="1"/>
                <c:pt idx="0">
                  <c:v>Average of Quantity</c:v>
                </c:pt>
              </c:strCache>
            </c:strRef>
          </c:tx>
          <c:spPr>
            <a:solidFill>
              <a:schemeClr val="accent1"/>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model!$B$87:$B$92</c:f>
              <c:numCache>
                <c:formatCode>0</c:formatCode>
                <c:ptCount val="5"/>
                <c:pt idx="0">
                  <c:v>711.86500000000001</c:v>
                </c:pt>
                <c:pt idx="1">
                  <c:v>559.40333333333331</c:v>
                </c:pt>
                <c:pt idx="2">
                  <c:v>201.01</c:v>
                </c:pt>
                <c:pt idx="3">
                  <c:v>573.07000000000005</c:v>
                </c:pt>
                <c:pt idx="4">
                  <c:v>200.4</c:v>
                </c:pt>
              </c:numCache>
            </c:numRef>
          </c:val>
          <c:extLst>
            <c:ext xmlns:c16="http://schemas.microsoft.com/office/drawing/2014/chart" uri="{C3380CC4-5D6E-409C-BE32-E72D297353CC}">
              <c16:uniqueId val="{00000000-ACEF-4B56-89A1-35C79DAB8CC5}"/>
            </c:ext>
          </c:extLst>
        </c:ser>
        <c:ser>
          <c:idx val="1"/>
          <c:order val="1"/>
          <c:tx>
            <c:strRef>
              <c:f>model!$C$86</c:f>
              <c:strCache>
                <c:ptCount val="1"/>
                <c:pt idx="0">
                  <c:v>Average of Revenue</c:v>
                </c:pt>
              </c:strCache>
            </c:strRef>
          </c:tx>
          <c:spPr>
            <a:solidFill>
              <a:schemeClr val="accent2"/>
            </a:solidFill>
            <a:ln>
              <a:noFill/>
            </a:ln>
            <a:effectLst/>
          </c:spPr>
          <c:invertIfNegative val="0"/>
          <c:cat>
            <c:strRef>
              <c:f>model!$A$87:$A$92</c:f>
              <c:strCache>
                <c:ptCount val="5"/>
                <c:pt idx="0">
                  <c:v>Beverages</c:v>
                </c:pt>
                <c:pt idx="1">
                  <c:v>Burgers</c:v>
                </c:pt>
                <c:pt idx="2">
                  <c:v>Chicken Sandwiches</c:v>
                </c:pt>
                <c:pt idx="3">
                  <c:v>Fries</c:v>
                </c:pt>
                <c:pt idx="4">
                  <c:v>Sides &amp; Other</c:v>
                </c:pt>
              </c:strCache>
            </c:strRef>
          </c:cat>
          <c:val>
            <c:numRef>
              <c:f>model!$C$87:$C$92</c:f>
              <c:numCache>
                <c:formatCode>0</c:formatCode>
                <c:ptCount val="5"/>
                <c:pt idx="0">
                  <c:v>2100.0017500000004</c:v>
                </c:pt>
                <c:pt idx="1">
                  <c:v>7266.6493</c:v>
                </c:pt>
                <c:pt idx="2">
                  <c:v>2000.0494999999999</c:v>
                </c:pt>
                <c:pt idx="3">
                  <c:v>2000.0143000000003</c:v>
                </c:pt>
                <c:pt idx="4">
                  <c:v>999.99600000000009</c:v>
                </c:pt>
              </c:numCache>
            </c:numRef>
          </c:val>
          <c:extLst>
            <c:ext xmlns:c16="http://schemas.microsoft.com/office/drawing/2014/chart" uri="{C3380CC4-5D6E-409C-BE32-E72D297353CC}">
              <c16:uniqueId val="{00000001-ACEF-4B56-89A1-35C79DAB8CC5}"/>
            </c:ext>
          </c:extLst>
        </c:ser>
        <c:dLbls>
          <c:showLegendKey val="0"/>
          <c:showVal val="0"/>
          <c:showCatName val="0"/>
          <c:showSerName val="0"/>
          <c:showPercent val="0"/>
          <c:showBubbleSize val="0"/>
        </c:dLbls>
        <c:gapWidth val="182"/>
        <c:axId val="1082762992"/>
        <c:axId val="1082767312"/>
      </c:barChart>
      <c:catAx>
        <c:axId val="10827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7312"/>
        <c:crosses val="autoZero"/>
        <c:auto val="1"/>
        <c:lblAlgn val="ctr"/>
        <c:lblOffset val="100"/>
        <c:noMultiLvlLbl val="0"/>
      </c:catAx>
      <c:valAx>
        <c:axId val="10827673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285751</xdr:colOff>
      <xdr:row>6</xdr:row>
      <xdr:rowOff>152400</xdr:rowOff>
    </xdr:from>
    <xdr:to>
      <xdr:col>5</xdr:col>
      <xdr:colOff>438151</xdr:colOff>
      <xdr:row>19</xdr:row>
      <xdr:rowOff>0</xdr:rowOff>
    </xdr:to>
    <xdr:graphicFrame macro="">
      <xdr:nvGraphicFramePr>
        <xdr:cNvPr id="18" name="Chart 17">
          <a:extLst>
            <a:ext uri="{FF2B5EF4-FFF2-40B4-BE49-F238E27FC236}">
              <a16:creationId xmlns:a16="http://schemas.microsoft.com/office/drawing/2014/main" id="{DA778AB8-F2AD-4CB6-9185-5B7B2F059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552450</xdr:colOff>
      <xdr:row>19</xdr:row>
      <xdr:rowOff>163286</xdr:rowOff>
    </xdr:from>
    <xdr:to>
      <xdr:col>12</xdr:col>
      <xdr:colOff>361949</xdr:colOff>
      <xdr:row>34</xdr:row>
      <xdr:rowOff>66676</xdr:rowOff>
    </xdr:to>
    <xdr:graphicFrame macro="">
      <xdr:nvGraphicFramePr>
        <xdr:cNvPr id="20" name="Chart 19">
          <a:extLst>
            <a:ext uri="{FF2B5EF4-FFF2-40B4-BE49-F238E27FC236}">
              <a16:creationId xmlns:a16="http://schemas.microsoft.com/office/drawing/2014/main" id="{62346B4B-EC94-4C56-9E4E-FEE2E253C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476250</xdr:colOff>
      <xdr:row>6</xdr:row>
      <xdr:rowOff>152400</xdr:rowOff>
    </xdr:from>
    <xdr:to>
      <xdr:col>20</xdr:col>
      <xdr:colOff>95250</xdr:colOff>
      <xdr:row>19</xdr:row>
      <xdr:rowOff>57149</xdr:rowOff>
    </xdr:to>
    <xdr:graphicFrame macro="">
      <xdr:nvGraphicFramePr>
        <xdr:cNvPr id="22" name="Chart 21">
          <a:extLst>
            <a:ext uri="{FF2B5EF4-FFF2-40B4-BE49-F238E27FC236}">
              <a16:creationId xmlns:a16="http://schemas.microsoft.com/office/drawing/2014/main" id="{A251B5F4-3577-4091-80B9-7CDD2A97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283482</xdr:colOff>
      <xdr:row>1</xdr:row>
      <xdr:rowOff>74839</xdr:rowOff>
    </xdr:from>
    <xdr:to>
      <xdr:col>20</xdr:col>
      <xdr:colOff>108857</xdr:colOff>
      <xdr:row>6</xdr:row>
      <xdr:rowOff>74839</xdr:rowOff>
    </xdr:to>
    <xdr:sp macro="" textlink="">
      <xdr:nvSpPr>
        <xdr:cNvPr id="23" name="TextBox 22">
          <a:extLst>
            <a:ext uri="{FF2B5EF4-FFF2-40B4-BE49-F238E27FC236}">
              <a16:creationId xmlns:a16="http://schemas.microsoft.com/office/drawing/2014/main" id="{AD2DFEFB-9AF5-44EE-B41B-7AB119AE8A7B}"/>
            </a:ext>
          </a:extLst>
        </xdr:cNvPr>
        <xdr:cNvSpPr txBox="1"/>
      </xdr:nvSpPr>
      <xdr:spPr>
        <a:xfrm>
          <a:off x="283482" y="265339"/>
          <a:ext cx="1207180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190500</xdr:colOff>
      <xdr:row>2</xdr:row>
      <xdr:rowOff>165100</xdr:rowOff>
    </xdr:from>
    <xdr:to>
      <xdr:col>17</xdr:col>
      <xdr:colOff>552449</xdr:colOff>
      <xdr:row>5</xdr:row>
      <xdr:rowOff>146050</xdr:rowOff>
    </xdr:to>
    <xdr:sp macro="" textlink="">
      <xdr:nvSpPr>
        <xdr:cNvPr id="25" name="TextBox 24">
          <a:extLst>
            <a:ext uri="{FF2B5EF4-FFF2-40B4-BE49-F238E27FC236}">
              <a16:creationId xmlns:a16="http://schemas.microsoft.com/office/drawing/2014/main" id="{E0FD57F0-E322-4019-8F7F-B6F38CB76B57}"/>
            </a:ext>
          </a:extLst>
        </xdr:cNvPr>
        <xdr:cNvSpPr txBox="1"/>
      </xdr:nvSpPr>
      <xdr:spPr>
        <a:xfrm>
          <a:off x="2000250" y="546100"/>
          <a:ext cx="8807449" cy="5524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i="0" u="none" strike="noStrike">
              <a:solidFill>
                <a:srgbClr val="000000"/>
              </a:solidFill>
              <a:latin typeface="Calibri"/>
              <a:cs typeface="Calibri"/>
            </a:rPr>
            <a:t>SALES DASHBOARD</a:t>
          </a:r>
        </a:p>
      </xdr:txBody>
    </xdr:sp>
    <xdr:clientData/>
  </xdr:twoCellAnchor>
  <xdr:twoCellAnchor>
    <xdr:from>
      <xdr:col>12</xdr:col>
      <xdr:colOff>476250</xdr:colOff>
      <xdr:row>19</xdr:row>
      <xdr:rowOff>180975</xdr:rowOff>
    </xdr:from>
    <xdr:to>
      <xdr:col>20</xdr:col>
      <xdr:colOff>95250</xdr:colOff>
      <xdr:row>34</xdr:row>
      <xdr:rowOff>66675</xdr:rowOff>
    </xdr:to>
    <xdr:graphicFrame macro="">
      <xdr:nvGraphicFramePr>
        <xdr:cNvPr id="2" name="Chart 1">
          <a:extLst>
            <a:ext uri="{FF2B5EF4-FFF2-40B4-BE49-F238E27FC236}">
              <a16:creationId xmlns:a16="http://schemas.microsoft.com/office/drawing/2014/main" id="{5F97B02D-F5FA-46FC-B8D6-C097B1B69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266701</xdr:colOff>
      <xdr:row>19</xdr:row>
      <xdr:rowOff>133350</xdr:rowOff>
    </xdr:from>
    <xdr:to>
      <xdr:col>5</xdr:col>
      <xdr:colOff>438151</xdr:colOff>
      <xdr:row>34</xdr:row>
      <xdr:rowOff>57150</xdr:rowOff>
    </xdr:to>
    <xdr:graphicFrame macro="">
      <xdr:nvGraphicFramePr>
        <xdr:cNvPr id="3" name="Chart 2">
          <a:extLst>
            <a:ext uri="{FF2B5EF4-FFF2-40B4-BE49-F238E27FC236}">
              <a16:creationId xmlns:a16="http://schemas.microsoft.com/office/drawing/2014/main" id="{A756E58F-27FF-47B2-A8B0-5E2AC47EB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555624</xdr:colOff>
      <xdr:row>6</xdr:row>
      <xdr:rowOff>152400</xdr:rowOff>
    </xdr:from>
    <xdr:to>
      <xdr:col>12</xdr:col>
      <xdr:colOff>352425</xdr:colOff>
      <xdr:row>19</xdr:row>
      <xdr:rowOff>47625</xdr:rowOff>
    </xdr:to>
    <xdr:graphicFrame macro="">
      <xdr:nvGraphicFramePr>
        <xdr:cNvPr id="8" name="Chart 7">
          <a:extLst>
            <a:ext uri="{FF2B5EF4-FFF2-40B4-BE49-F238E27FC236}">
              <a16:creationId xmlns:a16="http://schemas.microsoft.com/office/drawing/2014/main" id="{A9CDA674-C6EE-4A79-9177-A0081C064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197303</xdr:colOff>
      <xdr:row>1</xdr:row>
      <xdr:rowOff>68036</xdr:rowOff>
    </xdr:from>
    <xdr:to>
      <xdr:col>24</xdr:col>
      <xdr:colOff>92529</xdr:colOff>
      <xdr:row>6</xdr:row>
      <xdr:rowOff>68036</xdr:rowOff>
    </xdr:to>
    <xdr:sp macro="" textlink="">
      <xdr:nvSpPr>
        <xdr:cNvPr id="12" name="TextBox 11">
          <a:extLst>
            <a:ext uri="{FF2B5EF4-FFF2-40B4-BE49-F238E27FC236}">
              <a16:creationId xmlns:a16="http://schemas.microsoft.com/office/drawing/2014/main" id="{5CCD323C-4B5D-46B9-9F85-F09995FFB638}"/>
            </a:ext>
          </a:extLst>
        </xdr:cNvPr>
        <xdr:cNvSpPr txBox="1"/>
      </xdr:nvSpPr>
      <xdr:spPr>
        <a:xfrm>
          <a:off x="12443732" y="258536"/>
          <a:ext cx="2344511"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13</xdr:row>
      <xdr:rowOff>31750</xdr:rowOff>
    </xdr:from>
    <xdr:to>
      <xdr:col>24</xdr:col>
      <xdr:colOff>85726</xdr:colOff>
      <xdr:row>19</xdr:row>
      <xdr:rowOff>95249</xdr:rowOff>
    </xdr:to>
    <xdr:sp macro="" textlink="">
      <xdr:nvSpPr>
        <xdr:cNvPr id="24" name="TextBox 23">
          <a:extLst>
            <a:ext uri="{FF2B5EF4-FFF2-40B4-BE49-F238E27FC236}">
              <a16:creationId xmlns:a16="http://schemas.microsoft.com/office/drawing/2014/main" id="{49268E38-C839-4BDE-A152-075B93C9AE38}"/>
            </a:ext>
          </a:extLst>
        </xdr:cNvPr>
        <xdr:cNvSpPr txBox="1"/>
      </xdr:nvSpPr>
      <xdr:spPr>
        <a:xfrm>
          <a:off x="12255500" y="2508250"/>
          <a:ext cx="2308226" cy="1206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20</xdr:row>
      <xdr:rowOff>31750</xdr:rowOff>
    </xdr:from>
    <xdr:to>
      <xdr:col>24</xdr:col>
      <xdr:colOff>85726</xdr:colOff>
      <xdr:row>26</xdr:row>
      <xdr:rowOff>111125</xdr:rowOff>
    </xdr:to>
    <xdr:sp macro="" textlink="">
      <xdr:nvSpPr>
        <xdr:cNvPr id="27" name="TextBox 26">
          <a:extLst>
            <a:ext uri="{FF2B5EF4-FFF2-40B4-BE49-F238E27FC236}">
              <a16:creationId xmlns:a16="http://schemas.microsoft.com/office/drawing/2014/main" id="{2A854E09-6A70-4BEE-AF1B-1534A712DAEA}"/>
            </a:ext>
          </a:extLst>
        </xdr:cNvPr>
        <xdr:cNvSpPr txBox="1"/>
      </xdr:nvSpPr>
      <xdr:spPr>
        <a:xfrm>
          <a:off x="12255500" y="3841750"/>
          <a:ext cx="2308226" cy="1222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190500</xdr:colOff>
      <xdr:row>27</xdr:row>
      <xdr:rowOff>0</xdr:rowOff>
    </xdr:from>
    <xdr:to>
      <xdr:col>24</xdr:col>
      <xdr:colOff>85726</xdr:colOff>
      <xdr:row>34</xdr:row>
      <xdr:rowOff>63500</xdr:rowOff>
    </xdr:to>
    <xdr:sp macro="" textlink="">
      <xdr:nvSpPr>
        <xdr:cNvPr id="28" name="TextBox 27">
          <a:extLst>
            <a:ext uri="{FF2B5EF4-FFF2-40B4-BE49-F238E27FC236}">
              <a16:creationId xmlns:a16="http://schemas.microsoft.com/office/drawing/2014/main" id="{D72EE137-EA5A-42C7-8BB7-C9091A6486F7}"/>
            </a:ext>
          </a:extLst>
        </xdr:cNvPr>
        <xdr:cNvSpPr txBox="1"/>
      </xdr:nvSpPr>
      <xdr:spPr>
        <a:xfrm>
          <a:off x="12255500" y="5143500"/>
          <a:ext cx="2308226" cy="139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188119</xdr:colOff>
      <xdr:row>6</xdr:row>
      <xdr:rowOff>176213</xdr:rowOff>
    </xdr:from>
    <xdr:to>
      <xdr:col>24</xdr:col>
      <xdr:colOff>83345</xdr:colOff>
      <xdr:row>12</xdr:row>
      <xdr:rowOff>130969</xdr:rowOff>
    </xdr:to>
    <xdr:sp macro="" textlink="">
      <xdr:nvSpPr>
        <xdr:cNvPr id="30" name="TextBox 29">
          <a:extLst>
            <a:ext uri="{FF2B5EF4-FFF2-40B4-BE49-F238E27FC236}">
              <a16:creationId xmlns:a16="http://schemas.microsoft.com/office/drawing/2014/main" id="{B1D18734-D529-40E0-A2AC-D4E19A1B23DB}"/>
            </a:ext>
          </a:extLst>
        </xdr:cNvPr>
        <xdr:cNvSpPr txBox="1"/>
      </xdr:nvSpPr>
      <xdr:spPr>
        <a:xfrm>
          <a:off x="12332494" y="1319213"/>
          <a:ext cx="2324101" cy="1097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361158</xdr:colOff>
      <xdr:row>22</xdr:row>
      <xdr:rowOff>71437</xdr:rowOff>
    </xdr:from>
    <xdr:to>
      <xdr:col>23</xdr:col>
      <xdr:colOff>500064</xdr:colOff>
      <xdr:row>24</xdr:row>
      <xdr:rowOff>11906</xdr:rowOff>
    </xdr:to>
    <xdr:sp macro="" textlink="">
      <xdr:nvSpPr>
        <xdr:cNvPr id="31" name="TextBox 30">
          <a:extLst>
            <a:ext uri="{FF2B5EF4-FFF2-40B4-BE49-F238E27FC236}">
              <a16:creationId xmlns:a16="http://schemas.microsoft.com/office/drawing/2014/main" id="{BCB94618-9317-467D-8541-E3B6A0156D8F}"/>
            </a:ext>
          </a:extLst>
        </xdr:cNvPr>
        <xdr:cNvSpPr txBox="1"/>
      </xdr:nvSpPr>
      <xdr:spPr>
        <a:xfrm>
          <a:off x="12607587" y="4262437"/>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VARIANCE</a:t>
          </a:r>
          <a:r>
            <a:rPr lang="en-US" sz="1200" b="0" i="0" u="none" strike="noStrike" baseline="0">
              <a:solidFill>
                <a:srgbClr val="000000"/>
              </a:solidFill>
              <a:latin typeface="Calibri"/>
              <a:cs typeface="Calibri"/>
            </a:rPr>
            <a:t> OF QUANTITY</a:t>
          </a:r>
          <a:endParaRPr lang="en-US" sz="1200" b="0" i="0" u="none" strike="noStrike">
            <a:solidFill>
              <a:srgbClr val="000000"/>
            </a:solidFill>
            <a:latin typeface="Calibri"/>
            <a:cs typeface="Calibri"/>
          </a:endParaRPr>
        </a:p>
      </xdr:txBody>
    </xdr:sp>
    <xdr:clientData/>
  </xdr:twoCellAnchor>
  <xdr:twoCellAnchor>
    <xdr:from>
      <xdr:col>20</xdr:col>
      <xdr:colOff>363991</xdr:colOff>
      <xdr:row>2</xdr:row>
      <xdr:rowOff>52388</xdr:rowOff>
    </xdr:from>
    <xdr:to>
      <xdr:col>24</xdr:col>
      <xdr:colOff>46945</xdr:colOff>
      <xdr:row>3</xdr:row>
      <xdr:rowOff>138113</xdr:rowOff>
    </xdr:to>
    <xdr:sp macro="" textlink="">
      <xdr:nvSpPr>
        <xdr:cNvPr id="14" name="TextBox 13">
          <a:extLst>
            <a:ext uri="{FF2B5EF4-FFF2-40B4-BE49-F238E27FC236}">
              <a16:creationId xmlns:a16="http://schemas.microsoft.com/office/drawing/2014/main" id="{9B4F9881-E861-4BC3-B521-51594C5677EF}"/>
            </a:ext>
          </a:extLst>
        </xdr:cNvPr>
        <xdr:cNvSpPr txBox="1"/>
      </xdr:nvSpPr>
      <xdr:spPr>
        <a:xfrm>
          <a:off x="12610420" y="433388"/>
          <a:ext cx="2132239" cy="2762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AVERAGE</a:t>
          </a:r>
          <a:r>
            <a:rPr lang="en-US" sz="1200" b="1" i="0" u="none" strike="noStrike">
              <a:solidFill>
                <a:srgbClr val="000000"/>
              </a:solidFill>
              <a:latin typeface="Calibri"/>
              <a:cs typeface="Calibri"/>
            </a:rPr>
            <a:t> </a:t>
          </a:r>
          <a:r>
            <a:rPr lang="en-US" sz="1200" b="0" i="0" u="none" strike="noStrike">
              <a:solidFill>
                <a:srgbClr val="000000"/>
              </a:solidFill>
              <a:latin typeface="Calibri"/>
              <a:cs typeface="Calibri"/>
            </a:rPr>
            <a:t>REVENUE</a:t>
          </a:r>
        </a:p>
      </xdr:txBody>
    </xdr:sp>
    <xdr:clientData/>
  </xdr:twoCellAnchor>
  <xdr:twoCellAnchor>
    <xdr:from>
      <xdr:col>20</xdr:col>
      <xdr:colOff>411956</xdr:colOff>
      <xdr:row>3</xdr:row>
      <xdr:rowOff>183355</xdr:rowOff>
    </xdr:from>
    <xdr:to>
      <xdr:col>23</xdr:col>
      <xdr:colOff>154781</xdr:colOff>
      <xdr:row>6</xdr:row>
      <xdr:rowOff>59530</xdr:rowOff>
    </xdr:to>
    <xdr:sp macro="" textlink="model!A9">
      <xdr:nvSpPr>
        <xdr:cNvPr id="13" name="TextBox 12">
          <a:extLst>
            <a:ext uri="{FF2B5EF4-FFF2-40B4-BE49-F238E27FC236}">
              <a16:creationId xmlns:a16="http://schemas.microsoft.com/office/drawing/2014/main" id="{9B26CBE9-B43D-0707-9E34-51894BA4DBE1}"/>
            </a:ext>
          </a:extLst>
        </xdr:cNvPr>
        <xdr:cNvSpPr txBox="1"/>
      </xdr:nvSpPr>
      <xdr:spPr>
        <a:xfrm>
          <a:off x="12556331" y="754855"/>
          <a:ext cx="1564481"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A0B7FC-8D59-40CB-9E8E-CD3FBFA90569}" type="TxLink">
            <a:rPr lang="en-US" sz="2000" b="1" i="0" u="none" strike="noStrike">
              <a:solidFill>
                <a:srgbClr val="000000"/>
              </a:solidFill>
              <a:latin typeface="Calibri"/>
              <a:cs typeface="Calibri"/>
            </a:rPr>
            <a:pPr/>
            <a:t> $2,866.68 </a:t>
          </a:fld>
          <a:endParaRPr lang="en-US" sz="2000" b="1"/>
        </a:p>
      </xdr:txBody>
    </xdr:sp>
    <xdr:clientData/>
  </xdr:twoCellAnchor>
  <xdr:twoCellAnchor>
    <xdr:from>
      <xdr:col>20</xdr:col>
      <xdr:colOff>448356</xdr:colOff>
      <xdr:row>23</xdr:row>
      <xdr:rowOff>140494</xdr:rowOff>
    </xdr:from>
    <xdr:to>
      <xdr:col>23</xdr:col>
      <xdr:colOff>353786</xdr:colOff>
      <xdr:row>26</xdr:row>
      <xdr:rowOff>16669</xdr:rowOff>
    </xdr:to>
    <xdr:sp macro="" textlink="model!A100">
      <xdr:nvSpPr>
        <xdr:cNvPr id="32" name="TextBox 31">
          <a:extLst>
            <a:ext uri="{FF2B5EF4-FFF2-40B4-BE49-F238E27FC236}">
              <a16:creationId xmlns:a16="http://schemas.microsoft.com/office/drawing/2014/main" id="{CC3D4F10-A8DC-4D81-8B21-D19C812483DE}"/>
            </a:ext>
          </a:extLst>
        </xdr:cNvPr>
        <xdr:cNvSpPr txBox="1"/>
      </xdr:nvSpPr>
      <xdr:spPr>
        <a:xfrm>
          <a:off x="12694785" y="4521994"/>
          <a:ext cx="1742394"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000B5D-4B8A-47EC-9D17-CD9AFF1F6385}" type="TxLink">
            <a:rPr lang="en-US" sz="2000" b="1" i="0" u="none" strike="noStrike">
              <a:solidFill>
                <a:srgbClr val="000000"/>
              </a:solidFill>
              <a:latin typeface="Calibri"/>
              <a:cs typeface="Calibri"/>
            </a:rPr>
            <a:pPr/>
            <a:t> 43,389.43 </a:t>
          </a:fld>
          <a:endParaRPr lang="en-US" sz="2000" b="1" i="0" u="none" strike="noStrike">
            <a:solidFill>
              <a:srgbClr val="000000"/>
            </a:solidFill>
            <a:latin typeface="Calibri"/>
            <a:cs typeface="Calibri"/>
          </a:endParaRPr>
        </a:p>
      </xdr:txBody>
    </xdr:sp>
    <xdr:clientData/>
  </xdr:twoCellAnchor>
  <xdr:twoCellAnchor>
    <xdr:from>
      <xdr:col>20</xdr:col>
      <xdr:colOff>396875</xdr:colOff>
      <xdr:row>13</xdr:row>
      <xdr:rowOff>186531</xdr:rowOff>
    </xdr:from>
    <xdr:to>
      <xdr:col>23</xdr:col>
      <xdr:colOff>535781</xdr:colOff>
      <xdr:row>15</xdr:row>
      <xdr:rowOff>127000</xdr:rowOff>
    </xdr:to>
    <xdr:sp macro="" textlink="">
      <xdr:nvSpPr>
        <xdr:cNvPr id="33" name="TextBox 32">
          <a:extLst>
            <a:ext uri="{FF2B5EF4-FFF2-40B4-BE49-F238E27FC236}">
              <a16:creationId xmlns:a16="http://schemas.microsoft.com/office/drawing/2014/main" id="{F0C22F30-3726-4514-BDB6-9F13E92024A2}"/>
            </a:ext>
          </a:extLst>
        </xdr:cNvPr>
        <xdr:cNvSpPr txBox="1"/>
      </xdr:nvSpPr>
      <xdr:spPr>
        <a:xfrm>
          <a:off x="12643304" y="2663031"/>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cs typeface="Calibri"/>
            </a:rPr>
            <a:t> S</a:t>
          </a:r>
          <a:r>
            <a:rPr lang="en-US" sz="1200" b="0" i="0" u="none" strike="noStrike">
              <a:solidFill>
                <a:srgbClr val="000000"/>
              </a:solidFill>
              <a:latin typeface="Calibri"/>
              <a:cs typeface="Calibri"/>
            </a:rPr>
            <a:t>. DEVIATION </a:t>
          </a:r>
          <a:r>
            <a:rPr lang="en-US" sz="1200" b="0" i="0" u="none" strike="noStrike" baseline="0">
              <a:solidFill>
                <a:srgbClr val="000000"/>
              </a:solidFill>
              <a:latin typeface="Calibri"/>
              <a:cs typeface="Calibri"/>
            </a:rPr>
            <a:t>OF REVENUE</a:t>
          </a:r>
          <a:endParaRPr lang="en-US" sz="1200" b="0" i="0" u="none" strike="noStrike">
            <a:solidFill>
              <a:srgbClr val="000000"/>
            </a:solidFill>
            <a:latin typeface="Calibri"/>
            <a:cs typeface="Calibri"/>
          </a:endParaRPr>
        </a:p>
      </xdr:txBody>
    </xdr:sp>
    <xdr:clientData/>
  </xdr:twoCellAnchor>
  <xdr:twoCellAnchor>
    <xdr:from>
      <xdr:col>20</xdr:col>
      <xdr:colOff>468314</xdr:colOff>
      <xdr:row>15</xdr:row>
      <xdr:rowOff>115094</xdr:rowOff>
    </xdr:from>
    <xdr:to>
      <xdr:col>22</xdr:col>
      <xdr:colOff>530679</xdr:colOff>
      <xdr:row>17</xdr:row>
      <xdr:rowOff>176893</xdr:rowOff>
    </xdr:to>
    <xdr:sp macro="" textlink="model!A106">
      <xdr:nvSpPr>
        <xdr:cNvPr id="34" name="TextBox 33">
          <a:extLst>
            <a:ext uri="{FF2B5EF4-FFF2-40B4-BE49-F238E27FC236}">
              <a16:creationId xmlns:a16="http://schemas.microsoft.com/office/drawing/2014/main" id="{00C1ADA3-5265-4223-A87E-58DDA45DE0C3}"/>
            </a:ext>
          </a:extLst>
        </xdr:cNvPr>
        <xdr:cNvSpPr txBox="1"/>
      </xdr:nvSpPr>
      <xdr:spPr>
        <a:xfrm>
          <a:off x="12714743" y="2972594"/>
          <a:ext cx="1287007" cy="44279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6ECEBA-9FB0-4B90-9C94-0777F5438F27}" type="TxLink">
            <a:rPr lang="en-US" sz="2000" b="1" i="0" u="none" strike="noStrike">
              <a:solidFill>
                <a:srgbClr val="000000"/>
              </a:solidFill>
              <a:latin typeface="Calibri"/>
              <a:cs typeface="Calibri"/>
            </a:rPr>
            <a:pPr/>
            <a:t> 2,314.74 </a:t>
          </a:fld>
          <a:endParaRPr lang="en-US" sz="2000" b="1" i="0" u="none" strike="noStrike">
            <a:solidFill>
              <a:srgbClr val="000000"/>
            </a:solidFill>
            <a:latin typeface="Calibri"/>
            <a:cs typeface="Calibri"/>
          </a:endParaRPr>
        </a:p>
      </xdr:txBody>
    </xdr:sp>
    <xdr:clientData/>
  </xdr:twoCellAnchor>
  <xdr:twoCellAnchor>
    <xdr:from>
      <xdr:col>20</xdr:col>
      <xdr:colOff>480219</xdr:colOff>
      <xdr:row>8</xdr:row>
      <xdr:rowOff>68037</xdr:rowOff>
    </xdr:from>
    <xdr:to>
      <xdr:col>23</xdr:col>
      <xdr:colOff>231321</xdr:colOff>
      <xdr:row>12</xdr:row>
      <xdr:rowOff>68037</xdr:rowOff>
    </xdr:to>
    <xdr:sp macro="" textlink="model!A115">
      <xdr:nvSpPr>
        <xdr:cNvPr id="35" name="TextBox 34">
          <a:extLst>
            <a:ext uri="{FF2B5EF4-FFF2-40B4-BE49-F238E27FC236}">
              <a16:creationId xmlns:a16="http://schemas.microsoft.com/office/drawing/2014/main" id="{EDFC1F17-1F7D-4931-BEAC-C8C674BBBBEB}"/>
            </a:ext>
          </a:extLst>
        </xdr:cNvPr>
        <xdr:cNvSpPr txBox="1"/>
      </xdr:nvSpPr>
      <xdr:spPr>
        <a:xfrm>
          <a:off x="12726648" y="1592037"/>
          <a:ext cx="1588066" cy="7620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451522-C81C-4AE5-982B-F58ACC535292}" type="TxLink">
            <a:rPr lang="en-US" sz="2000" b="1" i="0" u="none" strike="noStrike">
              <a:solidFill>
                <a:srgbClr val="000000"/>
              </a:solidFill>
              <a:latin typeface="Calibri"/>
              <a:cs typeface="Calibri"/>
            </a:rPr>
            <a:pPr/>
            <a:t> 5,358,040.44 </a:t>
          </a:fld>
          <a:endParaRPr lang="en-US" sz="2000" b="1" i="0" u="none" strike="noStrike">
            <a:solidFill>
              <a:srgbClr val="000000"/>
            </a:solidFill>
            <a:latin typeface="Calibri"/>
            <a:cs typeface="Calibri"/>
          </a:endParaRPr>
        </a:p>
      </xdr:txBody>
    </xdr:sp>
    <xdr:clientData/>
  </xdr:twoCellAnchor>
  <xdr:twoCellAnchor>
    <xdr:from>
      <xdr:col>20</xdr:col>
      <xdr:colOff>401978</xdr:colOff>
      <xdr:row>7</xdr:row>
      <xdr:rowOff>179728</xdr:rowOff>
    </xdr:from>
    <xdr:to>
      <xdr:col>23</xdr:col>
      <xdr:colOff>540884</xdr:colOff>
      <xdr:row>9</xdr:row>
      <xdr:rowOff>120197</xdr:rowOff>
    </xdr:to>
    <xdr:sp macro="" textlink="">
      <xdr:nvSpPr>
        <xdr:cNvPr id="37" name="TextBox 36">
          <a:extLst>
            <a:ext uri="{FF2B5EF4-FFF2-40B4-BE49-F238E27FC236}">
              <a16:creationId xmlns:a16="http://schemas.microsoft.com/office/drawing/2014/main" id="{3C91D370-813C-4D07-99C3-8220BA7AEBEE}"/>
            </a:ext>
          </a:extLst>
        </xdr:cNvPr>
        <xdr:cNvSpPr txBox="1"/>
      </xdr:nvSpPr>
      <xdr:spPr>
        <a:xfrm>
          <a:off x="12648407" y="1513228"/>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VARIANCE</a:t>
          </a:r>
          <a:r>
            <a:rPr lang="en-US" sz="1200" b="0" i="0" u="none" strike="noStrike" baseline="0">
              <a:solidFill>
                <a:srgbClr val="000000"/>
              </a:solidFill>
              <a:latin typeface="Calibri"/>
              <a:cs typeface="Calibri"/>
            </a:rPr>
            <a:t> OF REVENUE</a:t>
          </a:r>
          <a:endParaRPr lang="en-US" sz="1200" b="0" i="0" u="none" strike="noStrike">
            <a:solidFill>
              <a:srgbClr val="000000"/>
            </a:solidFill>
            <a:latin typeface="Calibri"/>
            <a:cs typeface="Calibri"/>
          </a:endParaRPr>
        </a:p>
      </xdr:txBody>
    </xdr:sp>
    <xdr:clientData/>
  </xdr:twoCellAnchor>
  <xdr:twoCellAnchor>
    <xdr:from>
      <xdr:col>20</xdr:col>
      <xdr:colOff>383268</xdr:colOff>
      <xdr:row>28</xdr:row>
      <xdr:rowOff>5102</xdr:rowOff>
    </xdr:from>
    <xdr:to>
      <xdr:col>23</xdr:col>
      <xdr:colOff>522174</xdr:colOff>
      <xdr:row>29</xdr:row>
      <xdr:rowOff>136071</xdr:rowOff>
    </xdr:to>
    <xdr:sp macro="" textlink="">
      <xdr:nvSpPr>
        <xdr:cNvPr id="38" name="TextBox 37">
          <a:extLst>
            <a:ext uri="{FF2B5EF4-FFF2-40B4-BE49-F238E27FC236}">
              <a16:creationId xmlns:a16="http://schemas.microsoft.com/office/drawing/2014/main" id="{A54C296F-6241-46BD-982C-48ECB0AB7753}"/>
            </a:ext>
          </a:extLst>
        </xdr:cNvPr>
        <xdr:cNvSpPr txBox="1"/>
      </xdr:nvSpPr>
      <xdr:spPr>
        <a:xfrm>
          <a:off x="12629697" y="5339102"/>
          <a:ext cx="1975870" cy="3214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S. DEVIATION </a:t>
          </a:r>
          <a:r>
            <a:rPr lang="en-US" sz="1200" b="0" i="0" u="none" strike="noStrike" baseline="0">
              <a:solidFill>
                <a:srgbClr val="000000"/>
              </a:solidFill>
              <a:latin typeface="Calibri"/>
              <a:cs typeface="Calibri"/>
            </a:rPr>
            <a:t>OF QUANTITY</a:t>
          </a:r>
          <a:endParaRPr lang="en-US" sz="1200" b="0" i="0" u="none" strike="noStrike">
            <a:solidFill>
              <a:srgbClr val="000000"/>
            </a:solidFill>
            <a:latin typeface="Calibri"/>
            <a:cs typeface="Calibri"/>
          </a:endParaRPr>
        </a:p>
      </xdr:txBody>
    </xdr:sp>
    <xdr:clientData/>
  </xdr:twoCellAnchor>
  <xdr:twoCellAnchor>
    <xdr:from>
      <xdr:col>20</xdr:col>
      <xdr:colOff>480219</xdr:colOff>
      <xdr:row>29</xdr:row>
      <xdr:rowOff>130968</xdr:rowOff>
    </xdr:from>
    <xdr:to>
      <xdr:col>23</xdr:col>
      <xdr:colOff>95250</xdr:colOff>
      <xdr:row>32</xdr:row>
      <xdr:rowOff>7143</xdr:rowOff>
    </xdr:to>
    <xdr:sp macro="" textlink="model!A124">
      <xdr:nvSpPr>
        <xdr:cNvPr id="39" name="TextBox 38">
          <a:extLst>
            <a:ext uri="{FF2B5EF4-FFF2-40B4-BE49-F238E27FC236}">
              <a16:creationId xmlns:a16="http://schemas.microsoft.com/office/drawing/2014/main" id="{2C399BA9-CB8E-4217-BF3E-A3887DEF8011}"/>
            </a:ext>
          </a:extLst>
        </xdr:cNvPr>
        <xdr:cNvSpPr txBox="1"/>
      </xdr:nvSpPr>
      <xdr:spPr>
        <a:xfrm>
          <a:off x="12726648" y="5655468"/>
          <a:ext cx="1451995" cy="4476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066DBA-ACE8-4B23-9F50-8BFFBED4A0A9}" type="TxLink">
            <a:rPr lang="en-US" sz="2000" b="1" i="0" u="none" strike="noStrike">
              <a:solidFill>
                <a:srgbClr val="000000"/>
              </a:solidFill>
              <a:latin typeface="Calibri"/>
              <a:cs typeface="Calibri"/>
            </a:rPr>
            <a:pPr/>
            <a:t> 208.30 </a:t>
          </a:fld>
          <a:endParaRPr lang="en-US" sz="2000" b="1" i="0" u="none" strike="noStrike">
            <a:solidFill>
              <a:srgbClr val="000000"/>
            </a:solidFill>
            <a:latin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52388</xdr:rowOff>
    </xdr:from>
    <xdr:to>
      <xdr:col>10</xdr:col>
      <xdr:colOff>57150</xdr:colOff>
      <xdr:row>12</xdr:row>
      <xdr:rowOff>161925</xdr:rowOff>
    </xdr:to>
    <xdr:graphicFrame macro="">
      <xdr:nvGraphicFramePr>
        <xdr:cNvPr id="2" name="Chart 1">
          <a:extLst>
            <a:ext uri="{FF2B5EF4-FFF2-40B4-BE49-F238E27FC236}">
              <a16:creationId xmlns:a16="http://schemas.microsoft.com/office/drawing/2014/main" id="{40C4D278-E2A4-80C2-0752-8F0DCB14E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647700</xdr:colOff>
      <xdr:row>25</xdr:row>
      <xdr:rowOff>33337</xdr:rowOff>
    </xdr:from>
    <xdr:to>
      <xdr:col>10</xdr:col>
      <xdr:colOff>533400</xdr:colOff>
      <xdr:row>39</xdr:row>
      <xdr:rowOff>109537</xdr:rowOff>
    </xdr:to>
    <xdr:graphicFrame macro="">
      <xdr:nvGraphicFramePr>
        <xdr:cNvPr id="5" name="Chart 4">
          <a:extLst>
            <a:ext uri="{FF2B5EF4-FFF2-40B4-BE49-F238E27FC236}">
              <a16:creationId xmlns:a16="http://schemas.microsoft.com/office/drawing/2014/main" id="{2D3E5D24-B76B-8397-ED89-5F64076FA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38</xdr:row>
      <xdr:rowOff>119062</xdr:rowOff>
    </xdr:from>
    <xdr:to>
      <xdr:col>9</xdr:col>
      <xdr:colOff>228600</xdr:colOff>
      <xdr:row>53</xdr:row>
      <xdr:rowOff>4762</xdr:rowOff>
    </xdr:to>
    <xdr:graphicFrame macro="">
      <xdr:nvGraphicFramePr>
        <xdr:cNvPr id="7" name="Chart 6">
          <a:extLst>
            <a:ext uri="{FF2B5EF4-FFF2-40B4-BE49-F238E27FC236}">
              <a16:creationId xmlns:a16="http://schemas.microsoft.com/office/drawing/2014/main" id="{4A64110E-581D-74B8-D047-724D8E9B5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52</xdr:row>
      <xdr:rowOff>33337</xdr:rowOff>
    </xdr:from>
    <xdr:to>
      <xdr:col>7</xdr:col>
      <xdr:colOff>428625</xdr:colOff>
      <xdr:row>66</xdr:row>
      <xdr:rowOff>109537</xdr:rowOff>
    </xdr:to>
    <xdr:graphicFrame macro="">
      <xdr:nvGraphicFramePr>
        <xdr:cNvPr id="3" name="Chart 2">
          <a:extLst>
            <a:ext uri="{FF2B5EF4-FFF2-40B4-BE49-F238E27FC236}">
              <a16:creationId xmlns:a16="http://schemas.microsoft.com/office/drawing/2014/main" id="{386AB230-74F7-E890-A266-9019F7D54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409575</xdr:colOff>
      <xdr:row>64</xdr:row>
      <xdr:rowOff>33337</xdr:rowOff>
    </xdr:from>
    <xdr:to>
      <xdr:col>8</xdr:col>
      <xdr:colOff>276225</xdr:colOff>
      <xdr:row>78</xdr:row>
      <xdr:rowOff>109537</xdr:rowOff>
    </xdr:to>
    <xdr:graphicFrame macro="">
      <xdr:nvGraphicFramePr>
        <xdr:cNvPr id="4" name="Chart 3">
          <a:extLst>
            <a:ext uri="{FF2B5EF4-FFF2-40B4-BE49-F238E27FC236}">
              <a16:creationId xmlns:a16="http://schemas.microsoft.com/office/drawing/2014/main" id="{578B059D-D07D-2199-329D-F103F9034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76</xdr:row>
      <xdr:rowOff>33337</xdr:rowOff>
    </xdr:from>
    <xdr:to>
      <xdr:col>8</xdr:col>
      <xdr:colOff>771525</xdr:colOff>
      <xdr:row>90</xdr:row>
      <xdr:rowOff>109537</xdr:rowOff>
    </xdr:to>
    <xdr:graphicFrame macro="">
      <xdr:nvGraphicFramePr>
        <xdr:cNvPr id="8" name="Chart 7">
          <a:extLst>
            <a:ext uri="{FF2B5EF4-FFF2-40B4-BE49-F238E27FC236}">
              <a16:creationId xmlns:a16="http://schemas.microsoft.com/office/drawing/2014/main" id="{388E14C3-6C59-861B-11EC-4B151BB8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1171575</xdr:colOff>
      <xdr:row>14</xdr:row>
      <xdr:rowOff>114300</xdr:rowOff>
    </xdr:from>
    <xdr:to>
      <xdr:col>5</xdr:col>
      <xdr:colOff>257175</xdr:colOff>
      <xdr:row>19</xdr:row>
      <xdr:rowOff>142875</xdr:rowOff>
    </xdr:to>
    <mc:AlternateContent xmlns:mc="http://schemas.openxmlformats.org/markup-compatibility/2006" xmlns:a14="http://schemas.microsoft.com/office/drawing/2010/main">
      <mc:Choice Requires="a14">
        <xdr:graphicFrame macro="">
          <xdr:nvGraphicFramePr>
            <xdr:cNvPr id="22" name="Payment Method">
              <a:extLst>
                <a:ext uri="{FF2B5EF4-FFF2-40B4-BE49-F238E27FC236}">
                  <a16:creationId xmlns:a16="http://schemas.microsoft.com/office/drawing/2014/main" id="{6CF7804F-B069-FF2E-1A42-FB69FE4B79D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648075" y="27813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achi" refreshedDate="46040.615190972225" createdVersion="8" refreshedVersion="8" minRefreshableVersion="3" recordCount="15" xr:uid="{694F7672-2809-4602-ADD2-85F314A5C18E}">
  <cacheSource type="worksheet">
    <worksheetSource name="sales"/>
  </cacheSource>
  <cacheFields count="12">
    <cacheField name="Order ID" numFmtId="0">
      <sharedItems containsSemiMixedTypes="0" containsString="0" containsNumber="1" containsInteger="1" minValue="10452" maxValue="10467" count="15">
        <n v="10452"/>
        <n v="10453"/>
        <n v="10454"/>
        <n v="10455"/>
        <n v="10456"/>
        <n v="10457"/>
        <n v="10459"/>
        <n v="10460"/>
        <n v="10461"/>
        <n v="10462"/>
        <n v="10463"/>
        <n v="10464"/>
        <n v="10465"/>
        <n v="10466"/>
        <n v="10467"/>
      </sharedItems>
    </cacheField>
    <cacheField name="Date" numFmtId="14">
      <sharedItems containsSemiMixedTypes="0" containsNonDate="0" containsDate="1" containsString="0" minDate="2022-07-11T00:00:00" maxDate="2022-10-12T00:00:00" count="4">
        <d v="2022-07-11T00:00:00"/>
        <d v="2022-08-11T00:00:00"/>
        <d v="2022-09-11T00:00:00"/>
        <d v="2022-10-11T00:00:00"/>
      </sharedItems>
      <fieldGroup par="11"/>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12.99" count="5">
        <n v="3.49"/>
        <n v="2.95"/>
        <n v="4.99"/>
        <n v="12.99"/>
        <n v="9.9499999999999993"/>
      </sharedItems>
    </cacheField>
    <cacheField name="Quantity" numFmtId="0">
      <sharedItems containsSemiMixedTypes="0" containsString="0" containsNumber="1" minValue="200.4" maxValue="745.76" count="7">
        <n v="573.07000000000005"/>
        <n v="745.76"/>
        <n v="200.4"/>
        <n v="569.66999999999996"/>
        <n v="201.01"/>
        <n v="554.27"/>
        <n v="677.97"/>
      </sharedItems>
    </cacheField>
    <cacheField name="Purchase Type" numFmtId="0">
      <sharedItems count="2">
        <s v="Online "/>
        <s v="In-store "/>
      </sharedItems>
    </cacheField>
    <cacheField name="Payment Method" numFmtId="0">
      <sharedItems count="2">
        <s v=" Gift Card"/>
        <s v=" Credit Card"/>
      </sharedItems>
    </cacheField>
    <cacheField name="Manager" numFmtId="0">
      <sharedItems count="9">
        <s v="Tom      Jackson"/>
        <s v="       Pablo Perez"/>
        <s v="Joao    Silva"/>
        <s v="Walter Muller"/>
        <s v="Remy    Monet"/>
        <s v="Remy Monet"/>
        <s v="       Remy Monet"/>
        <s v="Remy     Monet"/>
        <s v="Pablo Perez"/>
      </sharedItems>
    </cacheField>
    <cacheField name="City" numFmtId="0">
      <sharedItems count="5">
        <s v="London"/>
        <s v="Madrid"/>
        <s v="Lisbon"/>
        <s v="Berlin"/>
        <s v="Paris"/>
      </sharedItems>
    </cacheField>
    <cacheField name="Revenue" numFmtId="0">
      <sharedItems containsSemiMixedTypes="0" containsString="0" containsNumber="1" minValue="999.99600000000009" maxValue="7400.0132999999996" count="7">
        <n v="2000.0143000000003"/>
        <n v="2199.9920000000002"/>
        <n v="999.99600000000009"/>
        <n v="7400.0132999999996"/>
        <n v="2000.0494999999999"/>
        <n v="7199.9673000000003"/>
        <n v="2000.0115000000003"/>
      </sharedItems>
    </cacheField>
    <cacheField name="Days (Date)" numFmtId="0" databaseField="0">
      <fieldGroup base="1">
        <rangePr groupBy="days" startDate="2022-07-11T00:00:00" endDate="2022-10-12T00:00:00"/>
        <groupItems count="368">
          <s v="&lt;7/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2022"/>
        </groupItems>
      </fieldGroup>
    </cacheField>
    <cacheField name="Months (Date)" numFmtId="0" databaseField="0">
      <fieldGroup base="1">
        <rangePr groupBy="months" startDate="2022-07-11T00:00:00" endDate="2022-10-12T00:00:00"/>
        <groupItems count="14">
          <s v="&lt;7/11/2022"/>
          <s v="Jan"/>
          <s v="Feb"/>
          <s v="Mar"/>
          <s v="Apr"/>
          <s v="May"/>
          <s v="Jun"/>
          <s v="Jul"/>
          <s v="Aug"/>
          <s v="Sep"/>
          <s v="Oct"/>
          <s v="Nov"/>
          <s v="Dec"/>
          <s v="&gt;10/12/2022"/>
        </groupItems>
      </fieldGroup>
    </cacheField>
  </cacheFields>
  <extLst>
    <ext xmlns:x14="http://schemas.microsoft.com/office/spreadsheetml/2009/9/main" uri="{725AE2AE-9491-48be-B2B4-4EB974FC3084}">
      <x14:pivotCacheDefinition pivotCacheId="754501327"/>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x v="0"/>
    <x v="0"/>
    <x v="0"/>
    <x v="0"/>
    <x v="0"/>
  </r>
  <r>
    <x v="1"/>
    <x v="0"/>
    <x v="1"/>
    <x v="1"/>
    <x v="1"/>
    <x v="0"/>
    <x v="0"/>
    <x v="1"/>
    <x v="1"/>
    <x v="1"/>
  </r>
  <r>
    <x v="2"/>
    <x v="0"/>
    <x v="2"/>
    <x v="2"/>
    <x v="2"/>
    <x v="1"/>
    <x v="0"/>
    <x v="2"/>
    <x v="2"/>
    <x v="2"/>
  </r>
  <r>
    <x v="3"/>
    <x v="1"/>
    <x v="3"/>
    <x v="3"/>
    <x v="3"/>
    <x v="1"/>
    <x v="1"/>
    <x v="3"/>
    <x v="3"/>
    <x v="3"/>
  </r>
  <r>
    <x v="4"/>
    <x v="1"/>
    <x v="4"/>
    <x v="4"/>
    <x v="4"/>
    <x v="1"/>
    <x v="1"/>
    <x v="3"/>
    <x v="3"/>
    <x v="4"/>
  </r>
  <r>
    <x v="5"/>
    <x v="1"/>
    <x v="0"/>
    <x v="0"/>
    <x v="0"/>
    <x v="1"/>
    <x v="1"/>
    <x v="4"/>
    <x v="4"/>
    <x v="0"/>
  </r>
  <r>
    <x v="6"/>
    <x v="1"/>
    <x v="2"/>
    <x v="2"/>
    <x v="2"/>
    <x v="1"/>
    <x v="1"/>
    <x v="3"/>
    <x v="3"/>
    <x v="2"/>
  </r>
  <r>
    <x v="7"/>
    <x v="2"/>
    <x v="3"/>
    <x v="3"/>
    <x v="5"/>
    <x v="1"/>
    <x v="1"/>
    <x v="5"/>
    <x v="4"/>
    <x v="5"/>
  </r>
  <r>
    <x v="8"/>
    <x v="2"/>
    <x v="4"/>
    <x v="4"/>
    <x v="4"/>
    <x v="1"/>
    <x v="1"/>
    <x v="5"/>
    <x v="4"/>
    <x v="4"/>
  </r>
  <r>
    <x v="9"/>
    <x v="2"/>
    <x v="0"/>
    <x v="0"/>
    <x v="0"/>
    <x v="1"/>
    <x v="1"/>
    <x v="6"/>
    <x v="4"/>
    <x v="0"/>
  </r>
  <r>
    <x v="10"/>
    <x v="2"/>
    <x v="1"/>
    <x v="1"/>
    <x v="6"/>
    <x v="1"/>
    <x v="1"/>
    <x v="6"/>
    <x v="4"/>
    <x v="6"/>
  </r>
  <r>
    <x v="11"/>
    <x v="2"/>
    <x v="2"/>
    <x v="2"/>
    <x v="2"/>
    <x v="1"/>
    <x v="1"/>
    <x v="7"/>
    <x v="4"/>
    <x v="2"/>
  </r>
  <r>
    <x v="12"/>
    <x v="3"/>
    <x v="3"/>
    <x v="3"/>
    <x v="5"/>
    <x v="1"/>
    <x v="1"/>
    <x v="8"/>
    <x v="1"/>
    <x v="5"/>
  </r>
  <r>
    <x v="13"/>
    <x v="3"/>
    <x v="4"/>
    <x v="4"/>
    <x v="4"/>
    <x v="1"/>
    <x v="1"/>
    <x v="8"/>
    <x v="1"/>
    <x v="4"/>
  </r>
  <r>
    <x v="14"/>
    <x v="3"/>
    <x v="0"/>
    <x v="0"/>
    <x v="0"/>
    <x v="1"/>
    <x v="1"/>
    <x v="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93E27-53F2-43F5-80BB-C29488AD60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4:B79" firstHeaderRow="1" firstDataRow="1" firstDataCol="1"/>
  <pivotFields count="12">
    <pivotField showAll="0"/>
    <pivotField axis="axisRow"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REVENUE PER DATE" fld="9"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4E44A-7307-4498-B5AF-431DD1001D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1" firstHeaderRow="1" firstDataRow="1" firstDataCol="1"/>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items count="10">
        <item x="1"/>
        <item x="6"/>
        <item x="2"/>
        <item x="8"/>
        <item x="7"/>
        <item x="4"/>
        <item x="5"/>
        <item x="0"/>
        <item x="3"/>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4"/>
    </i>
    <i>
      <x v="2"/>
    </i>
    <i>
      <x v="3"/>
    </i>
    <i t="grand">
      <x/>
    </i>
  </rowItems>
  <colItems count="1">
    <i/>
  </colItems>
  <dataFields count="1">
    <dataField name="REVENUE PER CITY" fld="9"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3294B-0E17-47D7-991B-19A0A1F522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B18" firstHeaderRow="1" firstDataRow="1" firstDataCol="1"/>
  <pivotFields count="12">
    <pivotField dataField="1" showAll="0">
      <items count="16">
        <item x="0"/>
        <item x="1"/>
        <item x="2"/>
        <item x="3"/>
        <item x="4"/>
        <item x="5"/>
        <item x="6"/>
        <item x="7"/>
        <item x="8"/>
        <item x="9"/>
        <item x="10"/>
        <item x="11"/>
        <item x="12"/>
        <item x="13"/>
        <item x="14"/>
        <item t="default"/>
      </items>
    </pivotField>
    <pivotField numFmtId="14" showAll="0">
      <items count="5">
        <item x="0"/>
        <item x="1"/>
        <item x="2"/>
        <item x="3"/>
        <item t="default"/>
      </items>
    </pivotField>
    <pivotField showAll="0">
      <items count="6">
        <item x="1"/>
        <item x="3"/>
        <item x="4"/>
        <item x="0"/>
        <item x="2"/>
        <item t="default"/>
      </items>
    </pivotField>
    <pivotField showAll="0"/>
    <pivotField showAll="0"/>
    <pivotField showAll="0"/>
    <pivotField axis="axisRow" showAll="0">
      <items count="3">
        <item x="1"/>
        <item x="0"/>
        <item t="default"/>
      </items>
    </pivotField>
    <pivotField showAll="0"/>
    <pivotField showAll="0">
      <items count="6">
        <item x="3"/>
        <item x="2"/>
        <item x="0"/>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PAYMENT METHODS" fld="0" subtotal="count" baseField="6"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66C733-5D0F-404B-8E3E-2E882C9E8F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9:B69" firstHeaderRow="1" firstDataRow="1" firstDataCol="1"/>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axis="axisRow" showAll="0" sortType="descending">
      <items count="10">
        <item x="1"/>
        <item x="6"/>
        <item x="2"/>
        <item x="8"/>
        <item x="7"/>
        <item x="4"/>
        <item x="5"/>
        <item x="0"/>
        <item x="3"/>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0">
    <i>
      <x v="3"/>
    </i>
    <i>
      <x v="8"/>
    </i>
    <i>
      <x v="6"/>
    </i>
    <i>
      <x v="1"/>
    </i>
    <i>
      <x/>
    </i>
    <i>
      <x v="5"/>
    </i>
    <i>
      <x v="7"/>
    </i>
    <i>
      <x v="2"/>
    </i>
    <i>
      <x v="4"/>
    </i>
    <i t="grand">
      <x/>
    </i>
  </rowItems>
  <colItems count="1">
    <i/>
  </colItems>
  <dataFields count="1">
    <dataField name="REVENUE PER MANAGER" fld="9" baseField="7" baseItem="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0E3490-8184-4F39-9D2D-5A20B01D9C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6:C92" firstHeaderRow="0" firstDataRow="1" firstDataCol="1"/>
  <pivotFields count="12">
    <pivotField showAll="0"/>
    <pivotField numFmtId="14" showAll="0">
      <items count="5">
        <item x="0"/>
        <item x="1"/>
        <item x="2"/>
        <item x="3"/>
        <item t="default"/>
      </items>
    </pivotField>
    <pivotField axis="axisRow" showAll="0">
      <items count="6">
        <item x="1"/>
        <item x="3"/>
        <item x="4"/>
        <item x="0"/>
        <item x="2"/>
        <item t="default"/>
      </items>
    </pivotField>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2">
    <i>
      <x/>
    </i>
    <i i="1">
      <x v="1"/>
    </i>
  </colItems>
  <dataFields count="2">
    <dataField name="Average of Quantity" fld="4" subtotal="average" baseField="2" baseItem="0"/>
    <dataField name="Average of Revenue" fld="9" subtotal="average" baseField="2" baseItem="0"/>
  </dataFields>
  <formats count="12">
    <format dxfId="21">
      <pivotArea collapsedLevelsAreSubtotals="1" fieldPosition="0">
        <references count="2">
          <reference field="4294967294" count="1" selected="0">
            <x v="1"/>
          </reference>
          <reference field="2" count="1">
            <x v="0"/>
          </reference>
        </references>
      </pivotArea>
    </format>
    <format dxfId="20">
      <pivotArea collapsedLevelsAreSubtotals="1" fieldPosition="0">
        <references count="2">
          <reference field="4294967294" count="1" selected="0">
            <x v="1"/>
          </reference>
          <reference field="2" count="1">
            <x v="1"/>
          </reference>
        </references>
      </pivotArea>
    </format>
    <format dxfId="19">
      <pivotArea collapsedLevelsAreSubtotals="1" fieldPosition="0">
        <references count="2">
          <reference field="4294967294" count="1" selected="0">
            <x v="1"/>
          </reference>
          <reference field="2" count="1">
            <x v="2"/>
          </reference>
        </references>
      </pivotArea>
    </format>
    <format dxfId="18">
      <pivotArea collapsedLevelsAreSubtotals="1" fieldPosition="0">
        <references count="2">
          <reference field="4294967294" count="1" selected="0">
            <x v="1"/>
          </reference>
          <reference field="2" count="1">
            <x v="3"/>
          </reference>
        </references>
      </pivotArea>
    </format>
    <format dxfId="17">
      <pivotArea collapsedLevelsAreSubtotals="1" fieldPosition="0">
        <references count="2">
          <reference field="4294967294" count="1" selected="0">
            <x v="1"/>
          </reference>
          <reference field="2" count="1">
            <x v="4"/>
          </reference>
        </references>
      </pivotArea>
    </format>
    <format dxfId="16">
      <pivotArea field="2" grandRow="1" outline="0" collapsedLevelsAreSubtotals="1" axis="axisRow" fieldPosition="0">
        <references count="1">
          <reference field="4294967294" count="1" selected="0">
            <x v="1"/>
          </reference>
        </references>
      </pivotArea>
    </format>
    <format dxfId="15">
      <pivotArea collapsedLevelsAreSubtotals="1" fieldPosition="0">
        <references count="2">
          <reference field="4294967294" count="1" selected="0">
            <x v="0"/>
          </reference>
          <reference field="2" count="1">
            <x v="0"/>
          </reference>
        </references>
      </pivotArea>
    </format>
    <format dxfId="14">
      <pivotArea collapsedLevelsAreSubtotals="1" fieldPosition="0">
        <references count="2">
          <reference field="4294967294" count="1" selected="0">
            <x v="0"/>
          </reference>
          <reference field="2" count="1">
            <x v="1"/>
          </reference>
        </references>
      </pivotArea>
    </format>
    <format dxfId="13">
      <pivotArea collapsedLevelsAreSubtotals="1" fieldPosition="0">
        <references count="2">
          <reference field="4294967294" count="1" selected="0">
            <x v="0"/>
          </reference>
          <reference field="2" count="1">
            <x v="2"/>
          </reference>
        </references>
      </pivotArea>
    </format>
    <format dxfId="12">
      <pivotArea collapsedLevelsAreSubtotals="1" fieldPosition="0">
        <references count="2">
          <reference field="4294967294" count="1" selected="0">
            <x v="0"/>
          </reference>
          <reference field="2" count="1">
            <x v="3"/>
          </reference>
        </references>
      </pivotArea>
    </format>
    <format dxfId="11">
      <pivotArea collapsedLevelsAreSubtotals="1" fieldPosition="0">
        <references count="2">
          <reference field="4294967294" count="1" selected="0">
            <x v="0"/>
          </reference>
          <reference field="2" count="1">
            <x v="4"/>
          </reference>
        </references>
      </pivotArea>
    </format>
    <format dxfId="10">
      <pivotArea field="2" grandRow="1" outline="0" collapsedLevelsAreSubtotals="1" axis="axisRow"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258546-41BF-4645-8612-4AB458AADF8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A122" firstHeaderRow="1" firstDataRow="1" firstDataCol="0"/>
  <pivotFields count="12">
    <pivotField showAll="0"/>
    <pivotField numFmtId="14" showAll="0">
      <items count="5">
        <item x="0"/>
        <item x="1"/>
        <item x="2"/>
        <item x="3"/>
        <item t="default"/>
      </items>
    </pivotField>
    <pivotField showAll="0"/>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tdDev of Quantity" fld="4"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5BB89F-5AD0-4B41-8372-EDA4392037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A104" firstHeaderRow="1" firstDataRow="1" firstDataCol="0"/>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tdDev of Revenue" fld="9"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C6327A-0993-4EC3-85A4-6532437D30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16">
        <item x="0"/>
        <item x="1"/>
        <item x="2"/>
        <item x="3"/>
        <item x="4"/>
        <item x="5"/>
        <item x="6"/>
        <item x="7"/>
        <item x="8"/>
        <item x="9"/>
        <item x="10"/>
        <item x="11"/>
        <item x="12"/>
        <item x="13"/>
        <item x="14"/>
        <item t="default"/>
      </items>
    </pivotField>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9" subtotal="average" baseField="0" baseItem="0" numFmtId="1"/>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DA2B81-29D0-4802-A674-2D066DFE89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A98" firstHeaderRow="1" firstDataRow="1" firstDataCol="0"/>
  <pivotFields count="12">
    <pivotField showAll="0"/>
    <pivotField numFmtId="14" showAll="0">
      <items count="5">
        <item x="0"/>
        <item x="1"/>
        <item x="2"/>
        <item x="3"/>
        <item t="default"/>
      </items>
    </pivotField>
    <pivotField showAll="0"/>
    <pivotField showAll="0"/>
    <pivotField dataField="1" showAll="0"/>
    <pivotField showAll="0"/>
    <pivotField showAll="0">
      <items count="3">
        <item x="1"/>
        <item x="0"/>
        <item t="default"/>
      </items>
    </pivotField>
    <pivotField showAll="0"/>
    <pivotField showAll="0">
      <items count="6">
        <item x="3"/>
        <item x="2"/>
        <item x="0"/>
        <item x="1"/>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Var of Quantity" fld="4" subtotal="var" baseField="0" baseItem="0" numFmtId="16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1E2FC8-2294-44B4-B2EF-909CA15C6D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6:C32" firstHeaderRow="0" firstDataRow="1" firstDataCol="1"/>
  <pivotFields count="12">
    <pivotField showAll="0"/>
    <pivotField numFmtId="14" showAll="0">
      <items count="5">
        <item x="0"/>
        <item x="1"/>
        <item x="2"/>
        <item x="3"/>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dataField="1" showAll="0">
      <items count="8">
        <item x="2"/>
        <item x="4"/>
        <item x="5"/>
        <item x="3"/>
        <item x="0"/>
        <item x="6"/>
        <item x="1"/>
        <item t="default"/>
      </items>
    </pivotField>
    <pivotField showAll="0"/>
    <pivotField showAll="0">
      <items count="3">
        <item x="1"/>
        <item x="0"/>
        <item t="default"/>
      </items>
    </pivotField>
    <pivotField showAll="0"/>
    <pivotField showAll="0">
      <items count="6">
        <item x="3"/>
        <item x="2"/>
        <item x="0"/>
        <item x="1"/>
        <item x="4"/>
        <item t="default"/>
      </items>
    </pivotField>
    <pivotField dataField="1" showAll="0">
      <items count="8">
        <item x="2"/>
        <item x="6"/>
        <item x="0"/>
        <item x="4"/>
        <item x="1"/>
        <item x="5"/>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1"/>
    </i>
    <i>
      <x/>
    </i>
    <i>
      <x v="2"/>
    </i>
    <i>
      <x v="4"/>
    </i>
    <i t="grand">
      <x/>
    </i>
  </rowItems>
  <colFields count="1">
    <field x="-2"/>
  </colFields>
  <colItems count="2">
    <i>
      <x/>
    </i>
    <i i="1">
      <x v="1"/>
    </i>
  </colItems>
  <dataFields count="2">
    <dataField name="QUANTITY PER PRODUCT" fld="4" baseField="2" baseItem="3"/>
    <dataField name="REVENUE PER PRODUCT" fld="9" baseField="2" baseItem="3"/>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9A6093-6FCC-4F4B-A28E-F43B2DB8EA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A113" firstHeaderRow="1" firstDataRow="1" firstDataCol="0"/>
  <pivotFields count="12">
    <pivotField showAll="0"/>
    <pivotField numFmtId="14"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items count="6">
        <item x="3"/>
        <item x="2"/>
        <item x="0"/>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Var of Revenue" fld="9" subtotal="var"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50C4A3-FB08-49FB-A10D-968CE461F86E}" autoFormatId="16" applyNumberFormats="0" applyBorderFormats="0" applyFontFormats="0" applyPatternFormats="0" applyAlignmentFormats="0" applyWidthHeightFormats="0">
  <queryTableRefresh nextId="11" unboundColumnsRight="1">
    <queryTableFields count="10">
      <queryTableField id="1" name="Order ID" tableColumnId="10"/>
      <queryTableField id="2" name="Date" tableColumnId="2"/>
      <queryTableField id="3" name="Product" tableColumnId="3"/>
      <queryTableField id="4" name="Price" tableColumnId="4"/>
      <queryTableField id="5" name="Quantity" tableColumnId="5"/>
      <queryTableField id="6" name="Purchase Type" tableColumnId="6"/>
      <queryTableField id="7" name="Payment Method" tableColumnId="7"/>
      <queryTableField id="8" name="Manager" tableColumnId="8"/>
      <queryTableField id="9" name="City" tableColumnId="9"/>
      <queryTableField id="10"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AFB8BA3-DA1C-4E49-897E-2C701C19E0A2}" sourceName="Payment Method">
  <pivotTables>
    <pivotTable tabId="4" name="PivotTable1"/>
    <pivotTable tabId="4" name="PivotTable10"/>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545013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BCFFDB0F-8369-4A6E-A9F7-AF98675B7E09}" cache="Slicer_Payment_Method" caption="Payment Metho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0B9B7-C5E9-45FD-9679-D779D169AF3A}" name="sales" displayName="sales" ref="A1:J16" tableType="queryTable" totalsRowShown="0">
  <autoFilter ref="A1:J16" xr:uid="{5A50B9B7-C5E9-45FD-9679-D779D169AF3A}"/>
  <tableColumns count="10">
    <tableColumn id="10" xr3:uid="{F078C51D-F885-4BDC-8EB2-D57DF2D994A9}" uniqueName="10" name="Order ID" queryTableFieldId="1" dataDxfId="9"/>
    <tableColumn id="2" xr3:uid="{28E649C4-2639-4A89-A81B-C00BC2A62328}" uniqueName="2" name="Date" queryTableFieldId="2" dataDxfId="8"/>
    <tableColumn id="3" xr3:uid="{6C0E4F0D-32F8-420D-BAB7-FBD094D81A5C}" uniqueName="3" name="Product" queryTableFieldId="3" dataDxfId="7"/>
    <tableColumn id="4" xr3:uid="{20EEA7B9-6BBF-466C-8D9D-7E5837B36402}" uniqueName="4" name="Price" queryTableFieldId="4" dataDxfId="6"/>
    <tableColumn id="5" xr3:uid="{5663563F-BE13-48D7-B6D1-2CD3509291E5}" uniqueName="5" name="Quantity" queryTableFieldId="5" dataDxfId="5"/>
    <tableColumn id="6" xr3:uid="{97DFB3B4-519E-46C8-8863-CC4715B93658}" uniqueName="6" name="Purchase Type" queryTableFieldId="6" dataDxfId="4"/>
    <tableColumn id="7" xr3:uid="{7DC6FD71-325B-4505-96F8-FAE5126A74B4}" uniqueName="7" name="Payment Method" queryTableFieldId="7" dataDxfId="3"/>
    <tableColumn id="8" xr3:uid="{F936872C-69C3-4A29-A85E-C23C810A8895}" uniqueName="8" name="Manager" queryTableFieldId="8" dataDxfId="2"/>
    <tableColumn id="9" xr3:uid="{FEA5ACD9-0B45-4AA5-A8A4-4A4DD6FA38FF}" uniqueName="9" name="City" queryTableFieldId="9" dataDxfId="1"/>
    <tableColumn id="11" xr3:uid="{D4FCF0DB-4FA4-4446-BEF5-B37B9F7FF737}" uniqueName="11" name="Revenue" queryTableFieldId="10" dataDxfId="0">
      <calculatedColumnFormula>E2 * D2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7BA4-5F02-4F3A-BC7C-00363CD40FBF}">
  <sheetPr>
    <pageSetUpPr fitToPage="1"/>
  </sheetPr>
  <dimension ref="A17:A21"/>
  <sheetViews>
    <sheetView showGridLines="0" tabSelected="1" zoomScale="60" zoomScaleNormal="60" workbookViewId="0">
      <selection activeCell="AC9" sqref="AC9"/>
    </sheetView>
  </sheetViews>
  <sheetFormatPr defaultRowHeight="15" x14ac:dyDescent="0.25"/>
  <cols>
    <col min="1" max="16384" width="9.140625" style="5"/>
  </cols>
  <sheetData>
    <row r="17" s="5" customFormat="1" x14ac:dyDescent="0.25"/>
    <row r="18" s="5" customFormat="1" x14ac:dyDescent="0.25"/>
    <row r="19" s="5" customFormat="1" x14ac:dyDescent="0.25"/>
    <row r="20" s="5" customFormat="1" x14ac:dyDescent="0.25"/>
    <row r="21" s="5" customFormat="1" x14ac:dyDescent="0.25"/>
  </sheetData>
  <pageMargins left="0.7" right="0.7" top="0.75" bottom="0.75" header="0.3" footer="0.3"/>
  <pageSetup paperSize="9" scale="3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C5F1-2269-4B65-874E-B521A7C6C5F5}">
  <dimension ref="A3:C124"/>
  <sheetViews>
    <sheetView workbookViewId="0">
      <selection activeCell="A9" sqref="A9"/>
    </sheetView>
  </sheetViews>
  <sheetFormatPr defaultRowHeight="15" x14ac:dyDescent="0.25"/>
  <cols>
    <col min="1" max="1" width="18.140625" bestFit="1" customWidth="1"/>
    <col min="2" max="2" width="19" bestFit="1" customWidth="1"/>
    <col min="3" max="3" width="19.140625" bestFit="1" customWidth="1"/>
    <col min="4" max="5" width="11" bestFit="1" customWidth="1"/>
    <col min="6" max="6" width="11.28515625" bestFit="1" customWidth="1"/>
    <col min="7" max="7" width="13.85546875" bestFit="1" customWidth="1"/>
    <col min="8" max="8" width="12.42578125" bestFit="1" customWidth="1"/>
    <col min="9" max="9" width="14.28515625" bestFit="1" customWidth="1"/>
    <col min="10" max="10" width="13.7109375" bestFit="1" customWidth="1"/>
    <col min="11" max="11" width="11.28515625" bestFit="1" customWidth="1"/>
    <col min="12" max="12" width="10" bestFit="1" customWidth="1"/>
    <col min="13" max="13" width="11.42578125" bestFit="1" customWidth="1"/>
    <col min="14" max="14" width="9" bestFit="1" customWidth="1"/>
    <col min="15" max="15" width="11.42578125" bestFit="1" customWidth="1"/>
    <col min="16" max="17" width="11.28515625" bestFit="1" customWidth="1"/>
  </cols>
  <sheetData>
    <row r="3" spans="1:2" x14ac:dyDescent="0.25">
      <c r="A3" t="s">
        <v>35</v>
      </c>
    </row>
    <row r="4" spans="1:2" x14ac:dyDescent="0.25">
      <c r="A4" s="6">
        <v>2866.67634</v>
      </c>
    </row>
    <row r="6" spans="1:2" x14ac:dyDescent="0.25">
      <c r="A6" s="4"/>
    </row>
    <row r="9" spans="1:2" x14ac:dyDescent="0.25">
      <c r="A9" s="12">
        <f>GETPIVOTDATA("Revenue",$A$3)</f>
        <v>2866.67634</v>
      </c>
    </row>
    <row r="14" spans="1:2" x14ac:dyDescent="0.25">
      <c r="A14" t="s">
        <v>36</v>
      </c>
    </row>
    <row r="15" spans="1:2" x14ac:dyDescent="0.25">
      <c r="A15" s="2" t="s">
        <v>33</v>
      </c>
      <c r="B15" t="s">
        <v>37</v>
      </c>
    </row>
    <row r="16" spans="1:2" x14ac:dyDescent="0.25">
      <c r="A16" s="3" t="s">
        <v>22</v>
      </c>
      <c r="B16">
        <v>12</v>
      </c>
    </row>
    <row r="17" spans="1:3" x14ac:dyDescent="0.25">
      <c r="A17" s="3" t="s">
        <v>11</v>
      </c>
      <c r="B17">
        <v>3</v>
      </c>
    </row>
    <row r="18" spans="1:3" x14ac:dyDescent="0.25">
      <c r="A18" s="3" t="s">
        <v>34</v>
      </c>
      <c r="B18">
        <v>15</v>
      </c>
    </row>
    <row r="26" spans="1:3" x14ac:dyDescent="0.25">
      <c r="A26" s="2" t="s">
        <v>33</v>
      </c>
      <c r="B26" t="s">
        <v>39</v>
      </c>
      <c r="C26" t="s">
        <v>38</v>
      </c>
    </row>
    <row r="27" spans="1:3" x14ac:dyDescent="0.25">
      <c r="A27" s="3" t="s">
        <v>9</v>
      </c>
      <c r="B27">
        <v>2292.2800000000002</v>
      </c>
      <c r="C27">
        <v>8000.0572000000011</v>
      </c>
    </row>
    <row r="28" spans="1:3" x14ac:dyDescent="0.25">
      <c r="A28" s="3" t="s">
        <v>21</v>
      </c>
      <c r="B28">
        <v>1678.21</v>
      </c>
      <c r="C28">
        <v>21799.947899999999</v>
      </c>
    </row>
    <row r="29" spans="1:3" x14ac:dyDescent="0.25">
      <c r="A29" s="3" t="s">
        <v>14</v>
      </c>
      <c r="B29">
        <v>1423.73</v>
      </c>
      <c r="C29">
        <v>4200.0035000000007</v>
      </c>
    </row>
    <row r="30" spans="1:3" x14ac:dyDescent="0.25">
      <c r="A30" s="3" t="s">
        <v>25</v>
      </c>
      <c r="B30">
        <v>603.03</v>
      </c>
      <c r="C30">
        <v>6000.1484999999993</v>
      </c>
    </row>
    <row r="31" spans="1:3" x14ac:dyDescent="0.25">
      <c r="A31" s="3" t="s">
        <v>17</v>
      </c>
      <c r="B31">
        <v>601.20000000000005</v>
      </c>
      <c r="C31">
        <v>2999.9880000000003</v>
      </c>
    </row>
    <row r="32" spans="1:3" x14ac:dyDescent="0.25">
      <c r="A32" s="3" t="s">
        <v>34</v>
      </c>
      <c r="B32">
        <v>6598.45</v>
      </c>
      <c r="C32">
        <v>43000.145099999994</v>
      </c>
    </row>
    <row r="45" spans="1:2" x14ac:dyDescent="0.25">
      <c r="A45" s="2" t="s">
        <v>33</v>
      </c>
      <c r="B45" t="s">
        <v>40</v>
      </c>
    </row>
    <row r="46" spans="1:2" x14ac:dyDescent="0.25">
      <c r="A46" s="3" t="s">
        <v>27</v>
      </c>
      <c r="B46">
        <v>16200.052900000002</v>
      </c>
    </row>
    <row r="47" spans="1:2" x14ac:dyDescent="0.25">
      <c r="A47" s="3" t="s">
        <v>16</v>
      </c>
      <c r="B47">
        <v>13400.0231</v>
      </c>
    </row>
    <row r="48" spans="1:2" x14ac:dyDescent="0.25">
      <c r="A48" s="3" t="s">
        <v>24</v>
      </c>
      <c r="B48">
        <v>10400.058799999999</v>
      </c>
    </row>
    <row r="49" spans="1:2" x14ac:dyDescent="0.25">
      <c r="A49" s="3" t="s">
        <v>13</v>
      </c>
      <c r="B49">
        <v>2000.0143000000003</v>
      </c>
    </row>
    <row r="50" spans="1:2" x14ac:dyDescent="0.25">
      <c r="A50" s="3" t="s">
        <v>20</v>
      </c>
      <c r="B50">
        <v>999.99600000000009</v>
      </c>
    </row>
    <row r="51" spans="1:2" x14ac:dyDescent="0.25">
      <c r="A51" s="3" t="s">
        <v>34</v>
      </c>
      <c r="B51">
        <v>43000.145099999994</v>
      </c>
    </row>
    <row r="59" spans="1:2" x14ac:dyDescent="0.25">
      <c r="A59" s="2" t="s">
        <v>33</v>
      </c>
      <c r="B59" t="s">
        <v>46</v>
      </c>
    </row>
    <row r="60" spans="1:2" x14ac:dyDescent="0.25">
      <c r="A60" s="3" t="s">
        <v>31</v>
      </c>
      <c r="B60">
        <v>11200.0311</v>
      </c>
    </row>
    <row r="61" spans="1:2" x14ac:dyDescent="0.25">
      <c r="A61" s="3" t="s">
        <v>23</v>
      </c>
      <c r="B61">
        <v>10400.058799999999</v>
      </c>
    </row>
    <row r="62" spans="1:2" x14ac:dyDescent="0.25">
      <c r="A62" s="3" t="s">
        <v>28</v>
      </c>
      <c r="B62">
        <v>9200.0167999999994</v>
      </c>
    </row>
    <row r="63" spans="1:2" x14ac:dyDescent="0.25">
      <c r="A63" s="3" t="s">
        <v>29</v>
      </c>
      <c r="B63">
        <v>4000.0258000000003</v>
      </c>
    </row>
    <row r="64" spans="1:2" x14ac:dyDescent="0.25">
      <c r="A64" s="3" t="s">
        <v>15</v>
      </c>
      <c r="B64">
        <v>2199.9920000000002</v>
      </c>
    </row>
    <row r="65" spans="1:2" x14ac:dyDescent="0.25">
      <c r="A65" s="3" t="s">
        <v>26</v>
      </c>
      <c r="B65">
        <v>2000.0143000000003</v>
      </c>
    </row>
    <row r="66" spans="1:2" x14ac:dyDescent="0.25">
      <c r="A66" s="3" t="s">
        <v>12</v>
      </c>
      <c r="B66">
        <v>2000.0143000000003</v>
      </c>
    </row>
    <row r="67" spans="1:2" x14ac:dyDescent="0.25">
      <c r="A67" s="3" t="s">
        <v>19</v>
      </c>
      <c r="B67">
        <v>999.99600000000009</v>
      </c>
    </row>
    <row r="68" spans="1:2" x14ac:dyDescent="0.25">
      <c r="A68" s="3" t="s">
        <v>30</v>
      </c>
      <c r="B68">
        <v>999.99600000000009</v>
      </c>
    </row>
    <row r="69" spans="1:2" x14ac:dyDescent="0.25">
      <c r="A69" s="3" t="s">
        <v>34</v>
      </c>
      <c r="B69">
        <v>43000.145099999994</v>
      </c>
    </row>
    <row r="74" spans="1:2" x14ac:dyDescent="0.25">
      <c r="A74" s="2" t="s">
        <v>33</v>
      </c>
      <c r="B74" t="s">
        <v>47</v>
      </c>
    </row>
    <row r="75" spans="1:2" x14ac:dyDescent="0.25">
      <c r="A75" s="7">
        <v>44753</v>
      </c>
      <c r="B75">
        <v>5200.002300000001</v>
      </c>
    </row>
    <row r="76" spans="1:2" x14ac:dyDescent="0.25">
      <c r="A76" s="7">
        <v>44784</v>
      </c>
      <c r="B76">
        <v>12400.073100000001</v>
      </c>
    </row>
    <row r="77" spans="1:2" x14ac:dyDescent="0.25">
      <c r="A77" s="7">
        <v>44815</v>
      </c>
      <c r="B77">
        <v>14200.0386</v>
      </c>
    </row>
    <row r="78" spans="1:2" x14ac:dyDescent="0.25">
      <c r="A78" s="7">
        <v>44845</v>
      </c>
      <c r="B78">
        <v>11200.0311</v>
      </c>
    </row>
    <row r="79" spans="1:2" x14ac:dyDescent="0.25">
      <c r="A79" s="7" t="s">
        <v>34</v>
      </c>
      <c r="B79">
        <v>43000.145100000002</v>
      </c>
    </row>
    <row r="86" spans="1:3" x14ac:dyDescent="0.25">
      <c r="A86" s="2" t="s">
        <v>33</v>
      </c>
      <c r="B86" t="s">
        <v>41</v>
      </c>
      <c r="C86" t="s">
        <v>35</v>
      </c>
    </row>
    <row r="87" spans="1:3" x14ac:dyDescent="0.25">
      <c r="A87" s="3" t="s">
        <v>14</v>
      </c>
      <c r="B87" s="6">
        <v>711.86500000000001</v>
      </c>
      <c r="C87" s="6">
        <v>2100.0017500000004</v>
      </c>
    </row>
    <row r="88" spans="1:3" x14ac:dyDescent="0.25">
      <c r="A88" s="3" t="s">
        <v>21</v>
      </c>
      <c r="B88" s="6">
        <v>559.40333333333331</v>
      </c>
      <c r="C88" s="6">
        <v>7266.6493</v>
      </c>
    </row>
    <row r="89" spans="1:3" x14ac:dyDescent="0.25">
      <c r="A89" s="3" t="s">
        <v>25</v>
      </c>
      <c r="B89" s="6">
        <v>201.01</v>
      </c>
      <c r="C89" s="6">
        <v>2000.0494999999999</v>
      </c>
    </row>
    <row r="90" spans="1:3" x14ac:dyDescent="0.25">
      <c r="A90" s="3" t="s">
        <v>9</v>
      </c>
      <c r="B90" s="6">
        <v>573.07000000000005</v>
      </c>
      <c r="C90" s="6">
        <v>2000.0143000000003</v>
      </c>
    </row>
    <row r="91" spans="1:3" x14ac:dyDescent="0.25">
      <c r="A91" s="3" t="s">
        <v>17</v>
      </c>
      <c r="B91" s="6">
        <v>200.4</v>
      </c>
      <c r="C91" s="6">
        <v>999.99600000000009</v>
      </c>
    </row>
    <row r="92" spans="1:3" x14ac:dyDescent="0.25">
      <c r="A92" s="3" t="s">
        <v>34</v>
      </c>
      <c r="B92" s="6">
        <v>439.89666666666653</v>
      </c>
      <c r="C92" s="6">
        <v>2866.6763400000004</v>
      </c>
    </row>
    <row r="97" spans="1:1" x14ac:dyDescent="0.25">
      <c r="A97" t="s">
        <v>42</v>
      </c>
    </row>
    <row r="98" spans="1:1" x14ac:dyDescent="0.25">
      <c r="A98" s="8">
        <v>43389.425209523914</v>
      </c>
    </row>
    <row r="100" spans="1:1" x14ac:dyDescent="0.25">
      <c r="A100" s="10">
        <f>GETPIVOTDATA("Quantity",$A$97)</f>
        <v>43389.425209523914</v>
      </c>
    </row>
    <row r="103" spans="1:1" x14ac:dyDescent="0.25">
      <c r="A103" t="s">
        <v>43</v>
      </c>
    </row>
    <row r="104" spans="1:1" x14ac:dyDescent="0.25">
      <c r="A104">
        <v>2314.7441406895359</v>
      </c>
    </row>
    <row r="106" spans="1:1" x14ac:dyDescent="0.25">
      <c r="A106" s="11">
        <f>GETPIVOTDATA("Revenue",$A$103)</f>
        <v>2314.7441406895359</v>
      </c>
    </row>
    <row r="112" spans="1:1" x14ac:dyDescent="0.25">
      <c r="A112" t="s">
        <v>44</v>
      </c>
    </row>
    <row r="113" spans="1:1" x14ac:dyDescent="0.25">
      <c r="A113" s="9">
        <v>5358040.4368565371</v>
      </c>
    </row>
    <row r="115" spans="1:1" x14ac:dyDescent="0.25">
      <c r="A115" s="11">
        <f>GETPIVOTDATA("Revenue",$A$112)</f>
        <v>5358040.4368565371</v>
      </c>
    </row>
    <row r="121" spans="1:1" x14ac:dyDescent="0.25">
      <c r="A121" t="s">
        <v>45</v>
      </c>
    </row>
    <row r="122" spans="1:1" x14ac:dyDescent="0.25">
      <c r="A122">
        <v>208.30128470444899</v>
      </c>
    </row>
    <row r="124" spans="1:1" x14ac:dyDescent="0.25">
      <c r="A124" s="11">
        <f>GETPIVOTDATA("Quantity",$A$121)</f>
        <v>208.30128470444899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7E09-53DB-4647-BC91-5FB797845A9C}">
  <dimension ref="A1:J16"/>
  <sheetViews>
    <sheetView workbookViewId="0"/>
  </sheetViews>
  <sheetFormatPr defaultRowHeight="15" x14ac:dyDescent="0.25"/>
  <cols>
    <col min="1" max="2" width="10.7109375" bestFit="1" customWidth="1"/>
    <col min="3" max="3" width="19.140625" bestFit="1" customWidth="1"/>
    <col min="4" max="4" width="7.7109375" bestFit="1" customWidth="1"/>
    <col min="5" max="5" width="11" bestFit="1" customWidth="1"/>
    <col min="6" max="6" width="16.140625" bestFit="1" customWidth="1"/>
    <col min="7" max="7" width="18.85546875" bestFit="1" customWidth="1"/>
    <col min="8" max="8" width="15.42578125" bestFit="1" customWidth="1"/>
    <col min="9" max="9" width="7.5703125" bestFit="1" customWidth="1"/>
  </cols>
  <sheetData>
    <row r="1" spans="1:10" x14ac:dyDescent="0.25">
      <c r="A1" t="s">
        <v>0</v>
      </c>
      <c r="B1" t="s">
        <v>1</v>
      </c>
      <c r="C1" t="s">
        <v>2</v>
      </c>
      <c r="D1" t="s">
        <v>3</v>
      </c>
      <c r="E1" t="s">
        <v>4</v>
      </c>
      <c r="F1" t="s">
        <v>5</v>
      </c>
      <c r="G1" t="s">
        <v>6</v>
      </c>
      <c r="H1" t="s">
        <v>7</v>
      </c>
      <c r="I1" t="s">
        <v>8</v>
      </c>
      <c r="J1" t="s">
        <v>32</v>
      </c>
    </row>
    <row r="2" spans="1:10" x14ac:dyDescent="0.25">
      <c r="A2">
        <v>10452</v>
      </c>
      <c r="B2" s="1">
        <v>44753</v>
      </c>
      <c r="C2" t="s">
        <v>9</v>
      </c>
      <c r="D2">
        <v>3.49</v>
      </c>
      <c r="E2">
        <v>573.07000000000005</v>
      </c>
      <c r="F2" t="s">
        <v>10</v>
      </c>
      <c r="G2" t="s">
        <v>11</v>
      </c>
      <c r="H2" t="s">
        <v>12</v>
      </c>
      <c r="I2" t="s">
        <v>13</v>
      </c>
      <c r="J2">
        <f t="shared" ref="J2:J16" si="0">E2 * D2</f>
        <v>2000.0143000000003</v>
      </c>
    </row>
    <row r="3" spans="1:10" x14ac:dyDescent="0.25">
      <c r="A3">
        <v>10453</v>
      </c>
      <c r="B3" s="1">
        <v>44753</v>
      </c>
      <c r="C3" t="s">
        <v>14</v>
      </c>
      <c r="D3">
        <v>2.95</v>
      </c>
      <c r="E3">
        <v>745.76</v>
      </c>
      <c r="F3" t="s">
        <v>10</v>
      </c>
      <c r="G3" t="s">
        <v>11</v>
      </c>
      <c r="H3" t="s">
        <v>15</v>
      </c>
      <c r="I3" t="s">
        <v>16</v>
      </c>
      <c r="J3">
        <f t="shared" si="0"/>
        <v>2199.9920000000002</v>
      </c>
    </row>
    <row r="4" spans="1:10" x14ac:dyDescent="0.25">
      <c r="A4">
        <v>10454</v>
      </c>
      <c r="B4" s="1">
        <v>44753</v>
      </c>
      <c r="C4" t="s">
        <v>17</v>
      </c>
      <c r="D4">
        <v>4.99</v>
      </c>
      <c r="E4">
        <v>200.4</v>
      </c>
      <c r="F4" t="s">
        <v>18</v>
      </c>
      <c r="G4" t="s">
        <v>11</v>
      </c>
      <c r="H4" t="s">
        <v>19</v>
      </c>
      <c r="I4" t="s">
        <v>20</v>
      </c>
      <c r="J4">
        <f t="shared" si="0"/>
        <v>999.99600000000009</v>
      </c>
    </row>
    <row r="5" spans="1:10" x14ac:dyDescent="0.25">
      <c r="A5">
        <v>10455</v>
      </c>
      <c r="B5" s="1">
        <v>44784</v>
      </c>
      <c r="C5" t="s">
        <v>21</v>
      </c>
      <c r="D5">
        <v>12.99</v>
      </c>
      <c r="E5">
        <v>569.66999999999996</v>
      </c>
      <c r="F5" t="s">
        <v>18</v>
      </c>
      <c r="G5" t="s">
        <v>22</v>
      </c>
      <c r="H5" t="s">
        <v>23</v>
      </c>
      <c r="I5" t="s">
        <v>24</v>
      </c>
      <c r="J5">
        <f t="shared" si="0"/>
        <v>7400.0132999999996</v>
      </c>
    </row>
    <row r="6" spans="1:10" x14ac:dyDescent="0.25">
      <c r="A6">
        <v>10456</v>
      </c>
      <c r="B6" s="1">
        <v>44784</v>
      </c>
      <c r="C6" t="s">
        <v>25</v>
      </c>
      <c r="D6">
        <v>9.9499999999999993</v>
      </c>
      <c r="E6">
        <v>201.01</v>
      </c>
      <c r="F6" t="s">
        <v>18</v>
      </c>
      <c r="G6" t="s">
        <v>22</v>
      </c>
      <c r="H6" t="s">
        <v>23</v>
      </c>
      <c r="I6" t="s">
        <v>24</v>
      </c>
      <c r="J6">
        <f t="shared" si="0"/>
        <v>2000.0494999999999</v>
      </c>
    </row>
    <row r="7" spans="1:10" x14ac:dyDescent="0.25">
      <c r="A7">
        <v>10457</v>
      </c>
      <c r="B7" s="1">
        <v>44784</v>
      </c>
      <c r="C7" t="s">
        <v>9</v>
      </c>
      <c r="D7">
        <v>3.49</v>
      </c>
      <c r="E7">
        <v>573.07000000000005</v>
      </c>
      <c r="F7" t="s">
        <v>18</v>
      </c>
      <c r="G7" t="s">
        <v>22</v>
      </c>
      <c r="H7" t="s">
        <v>26</v>
      </c>
      <c r="I7" t="s">
        <v>27</v>
      </c>
      <c r="J7">
        <f t="shared" si="0"/>
        <v>2000.0143000000003</v>
      </c>
    </row>
    <row r="8" spans="1:10" x14ac:dyDescent="0.25">
      <c r="A8">
        <v>10459</v>
      </c>
      <c r="B8" s="1">
        <v>44784</v>
      </c>
      <c r="C8" t="s">
        <v>17</v>
      </c>
      <c r="D8">
        <v>4.99</v>
      </c>
      <c r="E8">
        <v>200.4</v>
      </c>
      <c r="F8" t="s">
        <v>18</v>
      </c>
      <c r="G8" t="s">
        <v>22</v>
      </c>
      <c r="H8" t="s">
        <v>23</v>
      </c>
      <c r="I8" t="s">
        <v>24</v>
      </c>
      <c r="J8">
        <f t="shared" si="0"/>
        <v>999.99600000000009</v>
      </c>
    </row>
    <row r="9" spans="1:10" x14ac:dyDescent="0.25">
      <c r="A9">
        <v>10460</v>
      </c>
      <c r="B9" s="1">
        <v>44815</v>
      </c>
      <c r="C9" t="s">
        <v>21</v>
      </c>
      <c r="D9">
        <v>12.99</v>
      </c>
      <c r="E9">
        <v>554.27</v>
      </c>
      <c r="F9" t="s">
        <v>18</v>
      </c>
      <c r="G9" t="s">
        <v>22</v>
      </c>
      <c r="H9" t="s">
        <v>28</v>
      </c>
      <c r="I9" t="s">
        <v>27</v>
      </c>
      <c r="J9">
        <f t="shared" si="0"/>
        <v>7199.9673000000003</v>
      </c>
    </row>
    <row r="10" spans="1:10" x14ac:dyDescent="0.25">
      <c r="A10">
        <v>10461</v>
      </c>
      <c r="B10" s="1">
        <v>44815</v>
      </c>
      <c r="C10" t="s">
        <v>25</v>
      </c>
      <c r="D10">
        <v>9.9499999999999993</v>
      </c>
      <c r="E10">
        <v>201.01</v>
      </c>
      <c r="F10" t="s">
        <v>18</v>
      </c>
      <c r="G10" t="s">
        <v>22</v>
      </c>
      <c r="H10" t="s">
        <v>28</v>
      </c>
      <c r="I10" t="s">
        <v>27</v>
      </c>
      <c r="J10">
        <f t="shared" si="0"/>
        <v>2000.0494999999999</v>
      </c>
    </row>
    <row r="11" spans="1:10" x14ac:dyDescent="0.25">
      <c r="A11">
        <v>10462</v>
      </c>
      <c r="B11" s="1">
        <v>44815</v>
      </c>
      <c r="C11" t="s">
        <v>9</v>
      </c>
      <c r="D11">
        <v>3.49</v>
      </c>
      <c r="E11">
        <v>573.07000000000005</v>
      </c>
      <c r="F11" t="s">
        <v>18</v>
      </c>
      <c r="G11" t="s">
        <v>22</v>
      </c>
      <c r="H11" t="s">
        <v>29</v>
      </c>
      <c r="I11" t="s">
        <v>27</v>
      </c>
      <c r="J11">
        <f t="shared" si="0"/>
        <v>2000.0143000000003</v>
      </c>
    </row>
    <row r="12" spans="1:10" x14ac:dyDescent="0.25">
      <c r="A12">
        <v>10463</v>
      </c>
      <c r="B12" s="1">
        <v>44815</v>
      </c>
      <c r="C12" t="s">
        <v>14</v>
      </c>
      <c r="D12">
        <v>2.95</v>
      </c>
      <c r="E12">
        <v>677.97</v>
      </c>
      <c r="F12" t="s">
        <v>18</v>
      </c>
      <c r="G12" t="s">
        <v>22</v>
      </c>
      <c r="H12" t="s">
        <v>29</v>
      </c>
      <c r="I12" t="s">
        <v>27</v>
      </c>
      <c r="J12">
        <f t="shared" si="0"/>
        <v>2000.0115000000003</v>
      </c>
    </row>
    <row r="13" spans="1:10" x14ac:dyDescent="0.25">
      <c r="A13">
        <v>10464</v>
      </c>
      <c r="B13" s="1">
        <v>44815</v>
      </c>
      <c r="C13" t="s">
        <v>17</v>
      </c>
      <c r="D13">
        <v>4.99</v>
      </c>
      <c r="E13">
        <v>200.4</v>
      </c>
      <c r="F13" t="s">
        <v>18</v>
      </c>
      <c r="G13" t="s">
        <v>22</v>
      </c>
      <c r="H13" t="s">
        <v>30</v>
      </c>
      <c r="I13" t="s">
        <v>27</v>
      </c>
      <c r="J13">
        <f t="shared" si="0"/>
        <v>999.99600000000009</v>
      </c>
    </row>
    <row r="14" spans="1:10" x14ac:dyDescent="0.25">
      <c r="A14">
        <v>10465</v>
      </c>
      <c r="B14" s="1">
        <v>44845</v>
      </c>
      <c r="C14" t="s">
        <v>21</v>
      </c>
      <c r="D14">
        <v>12.99</v>
      </c>
      <c r="E14">
        <v>554.27</v>
      </c>
      <c r="F14" t="s">
        <v>18</v>
      </c>
      <c r="G14" t="s">
        <v>22</v>
      </c>
      <c r="H14" t="s">
        <v>31</v>
      </c>
      <c r="I14" t="s">
        <v>16</v>
      </c>
      <c r="J14">
        <f t="shared" si="0"/>
        <v>7199.9673000000003</v>
      </c>
    </row>
    <row r="15" spans="1:10" x14ac:dyDescent="0.25">
      <c r="A15">
        <v>10466</v>
      </c>
      <c r="B15" s="1">
        <v>44845</v>
      </c>
      <c r="C15" t="s">
        <v>25</v>
      </c>
      <c r="D15">
        <v>9.9499999999999993</v>
      </c>
      <c r="E15">
        <v>201.01</v>
      </c>
      <c r="F15" t="s">
        <v>18</v>
      </c>
      <c r="G15" t="s">
        <v>22</v>
      </c>
      <c r="H15" t="s">
        <v>31</v>
      </c>
      <c r="I15" t="s">
        <v>16</v>
      </c>
      <c r="J15">
        <f t="shared" si="0"/>
        <v>2000.0494999999999</v>
      </c>
    </row>
    <row r="16" spans="1:10" x14ac:dyDescent="0.25">
      <c r="A16">
        <v>10467</v>
      </c>
      <c r="B16" s="1">
        <v>44845</v>
      </c>
      <c r="C16" t="s">
        <v>9</v>
      </c>
      <c r="D16">
        <v>3.49</v>
      </c>
      <c r="E16">
        <v>573.07000000000005</v>
      </c>
      <c r="F16" t="s">
        <v>18</v>
      </c>
      <c r="G16" t="s">
        <v>22</v>
      </c>
      <c r="H16" t="s">
        <v>31</v>
      </c>
      <c r="I16" t="s">
        <v>16</v>
      </c>
      <c r="J16">
        <f t="shared" si="0"/>
        <v>2000.0143000000003</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B70189-35E4-4BE4-B00E-52EF92146C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model</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dc:creator>
  <cp:lastModifiedBy>amarachi</cp:lastModifiedBy>
  <cp:lastPrinted>2026-01-18T21:28:35Z</cp:lastPrinted>
  <dcterms:created xsi:type="dcterms:W3CDTF">2026-01-18T13:33:14Z</dcterms:created>
  <dcterms:modified xsi:type="dcterms:W3CDTF">2026-01-18T21:37:32Z</dcterms:modified>
</cp:coreProperties>
</file>